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'Report'!$1:$13</definedName>
    <definedName name="_xlnm.Print_Area" localSheetId="0">'Report'!$A$1:$J$183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<sst xmlns="http://schemas.openxmlformats.org/spreadsheetml/2006/main" uniqueCount="341">
  <si>
    <t>CENTRO SERVICES COOPERATIVE</t>
  </si>
  <si>
    <t xml:space="preserve"> Purok Camachille, Brgy. Tambler, General Santos City</t>
  </si>
  <si>
    <t xml:space="preserve"> centrocooperative21@gmail.com | (083) 554 5552</t>
  </si>
  <si>
    <t>UNIFORM STOCKS REPORT</t>
  </si>
  <si>
    <t>Period Covered:</t>
  </si>
  <si>
    <t>January 01 - April 11, 2026</t>
  </si>
  <si>
    <t>Runtime:</t>
  </si>
  <si>
    <t>Saturday, April 11, 2026 10:30:24 AM</t>
  </si>
  <si>
    <t>NO.</t>
  </si>
  <si>
    <t>BARCODE</t>
  </si>
  <si>
    <t>PRODUCT</t>
  </si>
  <si>
    <t>PRICE</t>
  </si>
  <si>
    <t>STOCK IN</t>
  </si>
  <si>
    <t>STOCK OUT</t>
  </si>
  <si>
    <t>ENDING INVENTORY</t>
  </si>
  <si>
    <t>QUANTITY</t>
  </si>
  <si>
    <t>AMOUNT</t>
  </si>
  <si>
    <t>00002</t>
  </si>
  <si>
    <t>APRON - WHITE</t>
  </si>
  <si>
    <t>00003</t>
  </si>
  <si>
    <t>APRON TRAPAL - ROYAL BLUE</t>
  </si>
  <si>
    <t>00004</t>
  </si>
  <si>
    <t>APRON TRAPAL - TRANSPARENT</t>
  </si>
  <si>
    <t>00239</t>
  </si>
  <si>
    <t>APRON TRAPAL - YELLOW</t>
  </si>
  <si>
    <t>00005</t>
  </si>
  <si>
    <t>BONET - GRAY</t>
  </si>
  <si>
    <t>00006</t>
  </si>
  <si>
    <t>BONET - SKY BLUE</t>
  </si>
  <si>
    <t>00007</t>
  </si>
  <si>
    <t>BONET - WHITE</t>
  </si>
  <si>
    <t>00026</t>
  </si>
  <si>
    <t>BOOTS - EVABOTA - WHITE (10)</t>
  </si>
  <si>
    <t>00027</t>
  </si>
  <si>
    <t>BOOTS - EVABOTA - WHITE (5)</t>
  </si>
  <si>
    <t>00028</t>
  </si>
  <si>
    <t>BOOTS - EVABOTA - WHITE (6)</t>
  </si>
  <si>
    <t>00029</t>
  </si>
  <si>
    <t>BOOTS - EVABOTA - WHITE (7)</t>
  </si>
  <si>
    <t>00030</t>
  </si>
  <si>
    <t>BOOTS - EVABOTA - WHITE (8)</t>
  </si>
  <si>
    <t>00031</t>
  </si>
  <si>
    <t>BOOTS - EVABOTA - WHITE (9)</t>
  </si>
  <si>
    <t>00033</t>
  </si>
  <si>
    <t>BULLCAP - MAROON</t>
  </si>
  <si>
    <t>00034</t>
  </si>
  <si>
    <t>BULLCAP - MAROON W/ SKY BLUE BAND</t>
  </si>
  <si>
    <t>00035</t>
  </si>
  <si>
    <t>BULLCAP - NAVY BLUE</t>
  </si>
  <si>
    <t>00038</t>
  </si>
  <si>
    <t>BULLCAP - PURPLE</t>
  </si>
  <si>
    <t>00039</t>
  </si>
  <si>
    <t>BULLCAP - RED</t>
  </si>
  <si>
    <t>00042</t>
  </si>
  <si>
    <t>BULLCAP - YELLOW W/ SKY BLUE BAND</t>
  </si>
  <si>
    <t>00046</t>
  </si>
  <si>
    <t>EARPLUGS - ORANGE</t>
  </si>
  <si>
    <t>00048</t>
  </si>
  <si>
    <t>HAIR NET - WHITE</t>
  </si>
  <si>
    <t>00049</t>
  </si>
  <si>
    <t>HARD HAT - BLUE</t>
  </si>
  <si>
    <t>00264</t>
  </si>
  <si>
    <t>HARD HAT - GREEN</t>
  </si>
  <si>
    <t>00050</t>
  </si>
  <si>
    <t>HARD HAT - RED</t>
  </si>
  <si>
    <t>00051</t>
  </si>
  <si>
    <t>HARD HAT - YELLOW</t>
  </si>
  <si>
    <t>00054</t>
  </si>
  <si>
    <t>HOOD CAP - ORANGE</t>
  </si>
  <si>
    <t>00058</t>
  </si>
  <si>
    <t>HOOD CAP - PINK</t>
  </si>
  <si>
    <t>00059</t>
  </si>
  <si>
    <t>HOOD CAP - RED</t>
  </si>
  <si>
    <t>00061</t>
  </si>
  <si>
    <t>HOOD CAP - ROYAL BLUE</t>
  </si>
  <si>
    <t>00062</t>
  </si>
  <si>
    <t>HOOD CAP - WHITE</t>
  </si>
  <si>
    <t>00063</t>
  </si>
  <si>
    <t>HOOD CAP - YELLOW</t>
  </si>
  <si>
    <t>00064</t>
  </si>
  <si>
    <t>HOOD CAP - YELLOW W/ GREEN BAND</t>
  </si>
  <si>
    <t>00065</t>
  </si>
  <si>
    <t>HOOD CAP - YELLOW W/ ORANGE BAND</t>
  </si>
  <si>
    <t>00072</t>
  </si>
  <si>
    <t>HOOD CAP VISOR - PINK W/ SKY BLUE BAND</t>
  </si>
  <si>
    <t>00075</t>
  </si>
  <si>
    <t>HOOD CAP VISOR - YELLOW W/ SKY BLUE BAND</t>
  </si>
  <si>
    <t>00238</t>
  </si>
  <si>
    <t>ID SLING (CENTRO)</t>
  </si>
  <si>
    <t>00255</t>
  </si>
  <si>
    <t>KNIFE - LOINING</t>
  </si>
  <si>
    <t>00242</t>
  </si>
  <si>
    <t>KNIFE - MACKEREL</t>
  </si>
  <si>
    <t>00079</t>
  </si>
  <si>
    <t>LAB GOWN - SKY BLUE</t>
  </si>
  <si>
    <t>00088</t>
  </si>
  <si>
    <t>LONG SLEEVE - NAVY BLUE (2XL)</t>
  </si>
  <si>
    <t>00089</t>
  </si>
  <si>
    <t>LONG SLEEVE - NAVY BLUE (L)</t>
  </si>
  <si>
    <t>00092</t>
  </si>
  <si>
    <t>LONG SLEEVE - NAVY BLUE (XL)</t>
  </si>
  <si>
    <t>00093</t>
  </si>
  <si>
    <t>LONG SLEEVE - PLAIN WHITE (2XL)</t>
  </si>
  <si>
    <t>00094</t>
  </si>
  <si>
    <t>LONG SLEEVE - PLAIN WHITE (L)</t>
  </si>
  <si>
    <t>00095</t>
  </si>
  <si>
    <t>LONG SLEEVE - PLAIN WHITE (M)</t>
  </si>
  <si>
    <t>00097</t>
  </si>
  <si>
    <t>LONG SLEEVE - PLAIN WHITE (XL)</t>
  </si>
  <si>
    <t>00099</t>
  </si>
  <si>
    <t>LONG SLEEVE - WHITE (L)</t>
  </si>
  <si>
    <t>00100</t>
  </si>
  <si>
    <t>LONG SLEEVE - WHITE (M)</t>
  </si>
  <si>
    <t>00103</t>
  </si>
  <si>
    <t>LONG SLEEVE - YELLOW (2XL)</t>
  </si>
  <si>
    <t>00104</t>
  </si>
  <si>
    <t>LONG SLEEVE - YELLOW (L)</t>
  </si>
  <si>
    <t>00105</t>
  </si>
  <si>
    <t>LONG SLEEVE - YELLOW (M)</t>
  </si>
  <si>
    <t>00107</t>
  </si>
  <si>
    <t>LONG SLEEVE - YELLOW (XL)</t>
  </si>
  <si>
    <t>00108</t>
  </si>
  <si>
    <t>LONG SLEEVE - YELLOW W/O PRINT FREESIZE</t>
  </si>
  <si>
    <t>00109</t>
  </si>
  <si>
    <t>LONG SLEEVE REFLECTORIZE - BLACK (L)</t>
  </si>
  <si>
    <t>00110</t>
  </si>
  <si>
    <t>LONG SLEEVE REFLECTORIZE - BROWN (L)</t>
  </si>
  <si>
    <t>00111</t>
  </si>
  <si>
    <t>LONG SLEEVE REFLECTORIZE - GRAY (L)</t>
  </si>
  <si>
    <t>00112</t>
  </si>
  <si>
    <t>LONG SLEEVE REFLECTORIZE - GREEN (L)</t>
  </si>
  <si>
    <t>00113</t>
  </si>
  <si>
    <t>LONG SLEEVE REFLECTORIZE - MAROON (L)</t>
  </si>
  <si>
    <t>00115</t>
  </si>
  <si>
    <t>LONG SLEEVE REFLECTORIZE - ORANGE (L)</t>
  </si>
  <si>
    <t>00116</t>
  </si>
  <si>
    <t>LONG SLEEVE REFLECTORIZE - RED (L)</t>
  </si>
  <si>
    <t>00117</t>
  </si>
  <si>
    <t>LONG SLEEVE REFLECTORIZE - ROYAL BLUE (L)</t>
  </si>
  <si>
    <t>00118</t>
  </si>
  <si>
    <t>LONG SLEEVE REFLECTORIZE - VIOLET (L)</t>
  </si>
  <si>
    <t>00119</t>
  </si>
  <si>
    <t>LONG SLEEVE REFLECTORIZE - YELLOW (L)</t>
  </si>
  <si>
    <t>00120</t>
  </si>
  <si>
    <t>MASK - RED</t>
  </si>
  <si>
    <t>00121</t>
  </si>
  <si>
    <t>MASK - WHITE</t>
  </si>
  <si>
    <t>00122</t>
  </si>
  <si>
    <t>MASK - YELLOW</t>
  </si>
  <si>
    <t>00123</t>
  </si>
  <si>
    <t>PANTS - NAVY BLUE (2XL)</t>
  </si>
  <si>
    <t>00124</t>
  </si>
  <si>
    <t>PANTS - NAVY BLUE (L)</t>
  </si>
  <si>
    <t>00125</t>
  </si>
  <si>
    <t>PANTS - NAVY BLUE (M)</t>
  </si>
  <si>
    <t>00126</t>
  </si>
  <si>
    <t>PANTS - NAVY BLUE (S)</t>
  </si>
  <si>
    <t>00130</t>
  </si>
  <si>
    <t>REFLECTORIZED VEST - ORANGE</t>
  </si>
  <si>
    <t>00131</t>
  </si>
  <si>
    <t>SAFETY BOOTS #7</t>
  </si>
  <si>
    <t>00132</t>
  </si>
  <si>
    <t>SAFETY BOOTS #8</t>
  </si>
  <si>
    <t>00133</t>
  </si>
  <si>
    <t>SAFETY SHOES #38</t>
  </si>
  <si>
    <t>00134</t>
  </si>
  <si>
    <t>SAFETY SHOES #39</t>
  </si>
  <si>
    <t>00135</t>
  </si>
  <si>
    <t>SAFETY SHOES #40</t>
  </si>
  <si>
    <t>00136</t>
  </si>
  <si>
    <t>SAFETY SHOES #41</t>
  </si>
  <si>
    <t>00137</t>
  </si>
  <si>
    <t>SAFETY SHOES #42</t>
  </si>
  <si>
    <t>00138</t>
  </si>
  <si>
    <t>SAFETY SHOES #43</t>
  </si>
  <si>
    <t>00139</t>
  </si>
  <si>
    <t>SAFETY SHOES #44</t>
  </si>
  <si>
    <t>00140</t>
  </si>
  <si>
    <t>SAFETY SHOES #45</t>
  </si>
  <si>
    <t>00263</t>
  </si>
  <si>
    <t>SAFETY SHOES #46</t>
  </si>
  <si>
    <t>00142</t>
  </si>
  <si>
    <t>SMOCK GOWN - APPLE GREEN</t>
  </si>
  <si>
    <t>00145</t>
  </si>
  <si>
    <t>SMOCK GOWN - PINK</t>
  </si>
  <si>
    <t>00146</t>
  </si>
  <si>
    <t>SMOCK GOWN - RED</t>
  </si>
  <si>
    <t>00147</t>
  </si>
  <si>
    <t>SMOCK GOWN - ROYAL BLUE</t>
  </si>
  <si>
    <t>00149</t>
  </si>
  <si>
    <t>SMOCK GOWN - YELLOW</t>
  </si>
  <si>
    <t>00253</t>
  </si>
  <si>
    <t>TELA - ALPHA GINA - APPLE GREEN</t>
  </si>
  <si>
    <t>00256</t>
  </si>
  <si>
    <t>TELA - ALPHA GINA - GOLDEN YELLOW</t>
  </si>
  <si>
    <t>00151</t>
  </si>
  <si>
    <t>TELA - ALPHA GINA - ORANGE</t>
  </si>
  <si>
    <t>00152</t>
  </si>
  <si>
    <t>TELA - ALPHA GINA - PINK</t>
  </si>
  <si>
    <t>00153</t>
  </si>
  <si>
    <t>TELA - ALPHA GINA - RED</t>
  </si>
  <si>
    <t>00154</t>
  </si>
  <si>
    <t>TELA - ALPHA GINA - ROYAL BLUE</t>
  </si>
  <si>
    <t>00155</t>
  </si>
  <si>
    <t>TELA - ALPHA GINA - YELLOW</t>
  </si>
  <si>
    <t>00250</t>
  </si>
  <si>
    <t>TELA - KATRINA - APPLE GREEN</t>
  </si>
  <si>
    <t>00251</t>
  </si>
  <si>
    <t>TELA - KATRINA - GOLDEN YELLOW</t>
  </si>
  <si>
    <t>00156</t>
  </si>
  <si>
    <t>TELA - KATRINA - GREEN</t>
  </si>
  <si>
    <t>00157</t>
  </si>
  <si>
    <t>TELA - KATRINA - MAROON</t>
  </si>
  <si>
    <t>00158</t>
  </si>
  <si>
    <t>TELA - KATRINA - NAVY BLUE</t>
  </si>
  <si>
    <t>00160</t>
  </si>
  <si>
    <t>TELA - KATRINA - PINK</t>
  </si>
  <si>
    <t>00161</t>
  </si>
  <si>
    <t>TELA - KATRINA - RED</t>
  </si>
  <si>
    <t>00162</t>
  </si>
  <si>
    <t>TELA - KATRINA - ROYAL BLUE</t>
  </si>
  <si>
    <t>00163</t>
  </si>
  <si>
    <t>TELA - KATRINA - SKY BLUE</t>
  </si>
  <si>
    <t>00164</t>
  </si>
  <si>
    <t>TELA - KATRINA - VIOLET</t>
  </si>
  <si>
    <t>00165</t>
  </si>
  <si>
    <t>TELA - KATRINA - WHITE</t>
  </si>
  <si>
    <t>00166</t>
  </si>
  <si>
    <t>TELA - KATRINA - YELLOW</t>
  </si>
  <si>
    <t>00254</t>
  </si>
  <si>
    <t>TELA - SEMICOL - GRAY</t>
  </si>
  <si>
    <t>00258</t>
  </si>
  <si>
    <t>TELA - SEMICOL - SKYBLUE</t>
  </si>
  <si>
    <t>00259</t>
  </si>
  <si>
    <t>TELA - SEMICOL - WHITE</t>
  </si>
  <si>
    <t>00167</t>
  </si>
  <si>
    <t>TELA - SOFT TULE - WHITE</t>
  </si>
  <si>
    <t>00252</t>
  </si>
  <si>
    <t>TELA - TETORON - SKY BLUE</t>
  </si>
  <si>
    <t>00168</t>
  </si>
  <si>
    <t>TRAPAL - ROYAL BLUE</t>
  </si>
  <si>
    <t>00170</t>
  </si>
  <si>
    <t>TSHIRT - APPLE GREEN (2XL)</t>
  </si>
  <si>
    <t>00171</t>
  </si>
  <si>
    <t>TSHIRT - APPLE GREEN (L)</t>
  </si>
  <si>
    <t>00172</t>
  </si>
  <si>
    <t>TSHIRT - APPLE GREEN (M)</t>
  </si>
  <si>
    <t>00173</t>
  </si>
  <si>
    <t>TSHIRT - APPLE GREEN (S)</t>
  </si>
  <si>
    <t>00174</t>
  </si>
  <si>
    <t>TSHIRT - APPLE GREEN (XL)</t>
  </si>
  <si>
    <t>00175</t>
  </si>
  <si>
    <t>TSHIRT - APPLE GREEN (XS)</t>
  </si>
  <si>
    <t>00176</t>
  </si>
  <si>
    <t>TSHIRT - GRAY (2XL)</t>
  </si>
  <si>
    <t>00177</t>
  </si>
  <si>
    <t>TSHIRT - GRAY (L)</t>
  </si>
  <si>
    <t>00178</t>
  </si>
  <si>
    <t>TSHIRT - GRAY (M)</t>
  </si>
  <si>
    <t>00179</t>
  </si>
  <si>
    <t>TSHIRT - GRAY (S)</t>
  </si>
  <si>
    <t>00180</t>
  </si>
  <si>
    <t>TSHIRT - GRAY (XL)</t>
  </si>
  <si>
    <t>00181</t>
  </si>
  <si>
    <t>TSHIRT - GRAY (XS)</t>
  </si>
  <si>
    <t>00182</t>
  </si>
  <si>
    <t>TSHIRT - MAROON (2XL)</t>
  </si>
  <si>
    <t>00183</t>
  </si>
  <si>
    <t>TSHIRT - MAROON (L)</t>
  </si>
  <si>
    <t>00185</t>
  </si>
  <si>
    <t>TSHIRT - MAROON (S)</t>
  </si>
  <si>
    <t>00186</t>
  </si>
  <si>
    <t>TSHIRT - MAROON (XL)</t>
  </si>
  <si>
    <t>00188</t>
  </si>
  <si>
    <t>TSHIRT - NAVY BLUE (2XL)</t>
  </si>
  <si>
    <t>00189</t>
  </si>
  <si>
    <t>TSHIRT - NAVY BLUE (L)</t>
  </si>
  <si>
    <t>00192</t>
  </si>
  <si>
    <t>TSHIRT - NAVY BLUE (XL)</t>
  </si>
  <si>
    <t>00194</t>
  </si>
  <si>
    <t>TSHIRT - ORANGE (2XL)</t>
  </si>
  <si>
    <t>00195</t>
  </si>
  <si>
    <t>TSHIRT - ORANGE (L)</t>
  </si>
  <si>
    <t>00196</t>
  </si>
  <si>
    <t>TSHIRT - ORANGE (M)</t>
  </si>
  <si>
    <t>00197</t>
  </si>
  <si>
    <t>TSHIRT - ORANGE (S)</t>
  </si>
  <si>
    <t>00198</t>
  </si>
  <si>
    <t>TSHIRT - ORANGE (XL)</t>
  </si>
  <si>
    <t>00199</t>
  </si>
  <si>
    <t>TSHIRT - ORANGE (XS)</t>
  </si>
  <si>
    <t>00202</t>
  </si>
  <si>
    <t>TSHIRT - PLAIN WHITE (L)</t>
  </si>
  <si>
    <t>00205</t>
  </si>
  <si>
    <t>TSHIRT - PLAIN WHITE (XL)</t>
  </si>
  <si>
    <t>00207</t>
  </si>
  <si>
    <t>TSHIRT - RED (2XL)</t>
  </si>
  <si>
    <t>00208</t>
  </si>
  <si>
    <t>TSHIRT - RED (L)</t>
  </si>
  <si>
    <t>00209</t>
  </si>
  <si>
    <t>TSHIRT - RED (M)</t>
  </si>
  <si>
    <t>00210</t>
  </si>
  <si>
    <t>TSHIRT - RED (S)</t>
  </si>
  <si>
    <t>00211</t>
  </si>
  <si>
    <t>TSHIRT - RED (XL)</t>
  </si>
  <si>
    <t>00213</t>
  </si>
  <si>
    <t>TSHIRT - ROYAL BLUE (2XL)</t>
  </si>
  <si>
    <t>00214</t>
  </si>
  <si>
    <t>TSHIRT - ROYAL BLUE (L)</t>
  </si>
  <si>
    <t>00215</t>
  </si>
  <si>
    <t>TSHIRT - ROYAL BLUE (M)</t>
  </si>
  <si>
    <t>00216</t>
  </si>
  <si>
    <t>TSHIRT - ROYAL BLUE (S)</t>
  </si>
  <si>
    <t>00217</t>
  </si>
  <si>
    <t>TSHIRT - ROYAL BLUE (XL)</t>
  </si>
  <si>
    <t>00221</t>
  </si>
  <si>
    <t>TSHIRT - WHITE (2XL)</t>
  </si>
  <si>
    <t>00223</t>
  </si>
  <si>
    <t>TSHIRT - WHITE (L)</t>
  </si>
  <si>
    <t>00224</t>
  </si>
  <si>
    <t>TSHIRT - WHITE (M)</t>
  </si>
  <si>
    <t>00225</t>
  </si>
  <si>
    <t>TSHIRT - WHITE (S)</t>
  </si>
  <si>
    <t>00226</t>
  </si>
  <si>
    <t>TSHIRT - WHITE (XL)</t>
  </si>
  <si>
    <t>00227</t>
  </si>
  <si>
    <t>TSHIRT - WHITE (XS)</t>
  </si>
  <si>
    <t>00228</t>
  </si>
  <si>
    <t>TSHIRT - YELLOW (2XL)</t>
  </si>
  <si>
    <t>00229</t>
  </si>
  <si>
    <t>TSHIRT - YELLOW (FS)</t>
  </si>
  <si>
    <t>00230</t>
  </si>
  <si>
    <t>TSHIRT - YELLOW (L)</t>
  </si>
  <si>
    <t>00231</t>
  </si>
  <si>
    <t>TSHIRT - YELLOW (M)</t>
  </si>
  <si>
    <t>00232</t>
  </si>
  <si>
    <t>TSHIRT - YELLOW (S)</t>
  </si>
  <si>
    <t>00233</t>
  </si>
  <si>
    <t>TSHIRT - YELLOW (XL)</t>
  </si>
  <si>
    <t>00235</t>
  </si>
  <si>
    <t>TSHIRT - YELLOW W/O PRINT (FS)</t>
  </si>
</sst>
</file>

<file path=xl/styles.xml><?xml version="1.0" encoding="utf-8"?>
<styleSheet xmlns="http://schemas.openxmlformats.org/spreadsheetml/2006/main" xml:space="preserve">
  <numFmts count="3">
    <numFmt numFmtId="164" formatCode="_(* #,##0.000_);_(* \(#,##0.000\);_(* &quot;-&quot;??_);_(@_)"/>
    <numFmt numFmtId="165" formatCode="_(* #,##0.00_);_(* \(#,##0.00\);_(* &quot;-&quot;??_);_(@_)"/>
    <numFmt numFmtId="166" formatCode="_(&quot;&quot;* #,##0.00_);_(&quot;&quot;* \(#,##0.00\);_(&quot;&quot;* &quot;-&quot;_);_(@_)"/>
  </numFmts>
  <fonts count="7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30"/>
      <color rgb="FF000000"/>
      <name val="Arial Black"/>
    </font>
    <font>
      <b val="0"/>
      <i val="0"/>
      <strike val="0"/>
      <u val="none"/>
      <sz val="11"/>
      <color rgb="FF000000"/>
      <name val="Aptos Display"/>
    </font>
    <font>
      <b val="0"/>
      <i val="0"/>
      <strike val="0"/>
      <u val="none"/>
      <sz val="25"/>
      <color rgb="FF000000"/>
      <name val="Arial Black"/>
    </font>
    <font>
      <b val="1"/>
      <i val="0"/>
      <strike val="0"/>
      <u val="none"/>
      <sz val="10"/>
      <color rgb="FF000000"/>
      <name val="Arial Black"/>
    </font>
    <font>
      <b val="1"/>
      <i val="0"/>
      <strike val="0"/>
      <u val="none"/>
      <sz val="11"/>
      <color rgb="FF000000"/>
      <name val="Aptos Display"/>
    </font>
    <font>
      <b val="1"/>
      <i val="0"/>
      <strike val="0"/>
      <u val="none"/>
      <sz val="11"/>
      <color rgb="FFFFFFFF"/>
      <name val="Aptos Display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12502C"/>
        <bgColor rgb="FF000000"/>
      </patternFill>
    </fill>
    <fill>
      <patternFill patternType="solid">
        <fgColor rgb="FF20348E"/>
        <bgColor rgb="FF000000"/>
      </patternFill>
    </fill>
    <fill>
      <patternFill patternType="solid">
        <fgColor rgb="FFB91313"/>
        <bgColor rgb="FF000000"/>
      </patternFill>
    </fill>
    <fill>
      <patternFill patternType="solid">
        <fgColor rgb="FF092615"/>
        <bgColor rgb="FF000000"/>
      </patternFill>
    </fill>
    <fill>
      <patternFill patternType="solid">
        <fgColor rgb="FF7A0000"/>
        <bgColor rgb="FF000000"/>
      </patternFill>
    </fill>
    <fill>
      <patternFill patternType="solid">
        <fgColor rgb="FF131D4F"/>
        <bgColor rgb="FF000000"/>
      </patternFill>
    </fill>
    <fill>
      <patternFill patternType="solid">
        <fgColor rgb="FF969696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50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general" vertical="center" textRotation="0" wrapText="false" shrinkToFit="false"/>
      <protection hidden="false"/>
    </xf>
    <xf xfId="0" fontId="5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 indent="1"/>
      <protection hidden="false"/>
    </xf>
    <xf xfId="0" fontId="2" numFmtId="164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2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hidden="false"/>
    </xf>
    <xf xfId="0" fontId="2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6" numFmtId="164" fillId="3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4" fillId="4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4" fillId="5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2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1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2" numFmtId="1" fillId="2" borderId="0" applyFont="1" applyNumberFormat="1" applyFill="0" applyBorder="0" applyAlignment="1" applyProtection="true">
      <alignment horizontal="general" vertical="center" textRotation="0" wrapText="false" shrinkToFit="false"/>
      <protection hidden="false"/>
    </xf>
    <xf xfId="0" fontId="6" numFmtId="1" fillId="3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1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6" numFmtId="1" fillId="5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" fillId="4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5" fillId="6" borderId="3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6" borderId="4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6" borderId="5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6" borderId="6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7" borderId="3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7" borderId="4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7" borderId="5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7" borderId="6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8" borderId="3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8" borderId="4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8" borderId="5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5" fillId="8" borderId="6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9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49" fillId="9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9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5" numFmtId="0" fillId="9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9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49" fillId="2" borderId="1" applyFont="1" applyNumberFormat="1" applyFill="0" applyBorder="1" applyAlignment="1" applyProtection="true">
      <alignment horizontal="left" vertical="center" textRotation="0" wrapText="false" shrinkToFit="false" indent="1"/>
      <protection hidden="false"/>
    </xf>
    <xf xfId="0" fontId="2" numFmtId="164" fillId="2" borderId="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1" fillId="2" borderId="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166" fillId="2" borderId="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164" fillId="2" borderId="7" applyFont="1" applyNumberFormat="1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J183"/>
  <sheetViews>
    <sheetView tabSelected="1" workbookViewId="0" zoomScale="85" zoomScaleNormal="85" showGridLines="false" showRowColHeaders="1">
      <pane ySplit="13" topLeftCell="A14" activePane="bottomLeft" state="frozen"/>
      <selection pane="bottomLeft" activeCell="A14" sqref="A14"/>
    </sheetView>
  </sheetViews>
  <sheetFormatPr customHeight="true" defaultRowHeight="15" defaultColWidth="12.7109375" outlineLevelRow="0" outlineLevelCol="0"/>
  <cols>
    <col min="1" max="1" width="10.7109375" customWidth="true" style="6"/>
    <col min="2" max="2" width="20.7109375" customWidth="true" style="43"/>
    <col min="3" max="3" width="50.7109375" customWidth="true" style="10"/>
    <col min="4" max="4" width="15.7109375" customWidth="true" style="13"/>
    <col min="5" max="5" width="15.7109375" customWidth="true" style="21"/>
    <col min="6" max="6" width="15.7109375" customWidth="true" style="13"/>
    <col min="7" max="7" width="15.7109375" customWidth="true" style="21"/>
    <col min="8" max="8" width="15.7109375" customWidth="true" style="13"/>
    <col min="9" max="9" width="15.7109375" customWidth="true" style="21"/>
    <col min="10" max="10" width="15.7109375" customWidth="true" style="13"/>
  </cols>
  <sheetData>
    <row r="1" spans="1:10" customHeight="1" ht="30" s="7" customFormat="1">
      <c r="A1" s="1" t="s">
        <v>0</v>
      </c>
      <c r="B1" s="39"/>
      <c r="D1" s="13"/>
      <c r="E1" s="18"/>
      <c r="F1" s="11"/>
      <c r="G1" s="18"/>
      <c r="H1" s="11"/>
      <c r="I1" s="18"/>
      <c r="J1" s="11"/>
    </row>
    <row r="2" spans="1:10" customHeight="1" ht="15" s="7" customFormat="1">
      <c r="A2" s="2" t="s">
        <v>1</v>
      </c>
      <c r="B2" s="39"/>
      <c r="D2" s="13"/>
      <c r="E2" s="18"/>
      <c r="F2" s="11"/>
      <c r="G2" s="18"/>
      <c r="H2" s="11"/>
      <c r="I2" s="18"/>
      <c r="J2" s="11"/>
    </row>
    <row r="3" spans="1:10" customHeight="1" ht="15" s="7" customFormat="1">
      <c r="A3" s="2" t="s">
        <v>2</v>
      </c>
      <c r="B3" s="39"/>
      <c r="D3" s="13"/>
      <c r="E3" s="18"/>
      <c r="F3" s="11"/>
      <c r="G3" s="18"/>
      <c r="H3" s="11"/>
      <c r="I3" s="18"/>
      <c r="J3" s="11"/>
    </row>
    <row r="4" spans="1:10" customHeight="1" ht="15" s="7" customFormat="1">
      <c r="A4" s="2"/>
      <c r="B4" s="39"/>
      <c r="D4" s="13"/>
      <c r="E4" s="18"/>
      <c r="F4" s="11"/>
      <c r="G4" s="18"/>
      <c r="H4" s="11"/>
      <c r="I4" s="18"/>
      <c r="J4" s="11"/>
    </row>
    <row r="5" spans="1:10" customHeight="1" ht="24.95" s="7" customFormat="1">
      <c r="A5" s="3" t="s">
        <v>3</v>
      </c>
      <c r="B5" s="39"/>
      <c r="D5" s="13"/>
      <c r="E5" s="18"/>
      <c r="F5" s="11"/>
      <c r="G5" s="18"/>
      <c r="H5" s="11"/>
      <c r="I5" s="18"/>
      <c r="J5" s="11"/>
    </row>
    <row r="6" spans="1:10" customHeight="1" ht="15" s="8" customFormat="1">
      <c r="A6" s="5"/>
      <c r="B6" s="40"/>
      <c r="D6" s="13"/>
      <c r="E6" s="19"/>
      <c r="F6" s="12"/>
      <c r="G6" s="19"/>
      <c r="H6" s="12"/>
      <c r="I6" s="19"/>
      <c r="J6" s="12"/>
    </row>
    <row r="7" spans="1:10" customHeight="1" ht="15" s="7" customFormat="1">
      <c r="A7" s="4" t="s">
        <v>4</v>
      </c>
      <c r="B7" s="39"/>
      <c r="C7" s="17" t="s">
        <v>5</v>
      </c>
      <c r="D7" s="11"/>
      <c r="E7" s="18"/>
      <c r="F7" s="11"/>
      <c r="G7" s="18"/>
      <c r="H7" s="11"/>
      <c r="I7" s="18"/>
      <c r="J7" s="11"/>
    </row>
    <row r="8" spans="1:10" customHeight="1" ht="15" s="7" customFormat="1">
      <c r="A8" s="4" t="s">
        <v>6</v>
      </c>
      <c r="B8" s="39"/>
      <c r="C8" s="17" t="s">
        <v>7</v>
      </c>
      <c r="D8" s="11"/>
      <c r="E8" s="18"/>
      <c r="F8" s="11"/>
      <c r="G8" s="18"/>
      <c r="H8" s="11"/>
      <c r="I8" s="18"/>
      <c r="J8" s="11"/>
    </row>
    <row r="9" spans="1:10" customHeight="1" ht="15" s="8" customFormat="1">
      <c r="A9" s="5"/>
      <c r="B9" s="40"/>
      <c r="D9" s="13"/>
      <c r="E9" s="19"/>
      <c r="F9" s="12"/>
      <c r="G9" s="19"/>
      <c r="H9" s="12"/>
      <c r="I9" s="19"/>
      <c r="J9" s="12"/>
    </row>
    <row r="10" spans="1:10" customHeight="1" ht="15" s="9" customFormat="1">
      <c r="A10" s="38" t="s">
        <v>8</v>
      </c>
      <c r="B10" s="41" t="s">
        <v>9</v>
      </c>
      <c r="C10" s="37" t="s">
        <v>10</v>
      </c>
      <c r="D10" s="36" t="s">
        <v>11</v>
      </c>
      <c r="E10" s="24" t="s">
        <v>12</v>
      </c>
      <c r="F10" s="25"/>
      <c r="G10" s="28" t="s">
        <v>13</v>
      </c>
      <c r="H10" s="29"/>
      <c r="I10" s="32" t="s">
        <v>14</v>
      </c>
      <c r="J10" s="33"/>
    </row>
    <row r="11" spans="1:10" customHeight="1" ht="15" s="9" customFormat="1">
      <c r="A11" s="38"/>
      <c r="B11" s="42"/>
      <c r="C11" s="37"/>
      <c r="D11" s="36"/>
      <c r="E11" s="26"/>
      <c r="F11" s="27"/>
      <c r="G11" s="30"/>
      <c r="H11" s="31"/>
      <c r="I11" s="34"/>
      <c r="J11" s="35"/>
    </row>
    <row r="12" spans="1:10" customHeight="1" ht="15" s="9" customFormat="1">
      <c r="A12" s="38"/>
      <c r="B12" s="42"/>
      <c r="C12" s="37"/>
      <c r="D12" s="36"/>
      <c r="E12" s="20" t="s">
        <v>15</v>
      </c>
      <c r="F12" s="14" t="s">
        <v>16</v>
      </c>
      <c r="G12" s="22" t="s">
        <v>15</v>
      </c>
      <c r="H12" s="16" t="s">
        <v>16</v>
      </c>
      <c r="I12" s="23" t="s">
        <v>15</v>
      </c>
      <c r="J12" s="15" t="s">
        <v>16</v>
      </c>
    </row>
    <row r="14" spans="1:10">
      <c r="A14" s="44" t="str">
        <f>A13+1</f>
        <v>0</v>
      </c>
      <c r="B14" s="44" t="s">
        <v>17</v>
      </c>
      <c r="C14" s="45" t="s">
        <v>18</v>
      </c>
      <c r="D14" s="46">
        <v>110</v>
      </c>
      <c r="E14" s="47">
        <v>450</v>
      </c>
      <c r="F14" s="48">
        <v>49500</v>
      </c>
      <c r="G14" s="47">
        <v>0</v>
      </c>
      <c r="H14" s="48">
        <v>0</v>
      </c>
      <c r="I14" s="47">
        <v>450</v>
      </c>
      <c r="J14" s="48">
        <v>49500</v>
      </c>
    </row>
    <row r="15" spans="1:10">
      <c r="A15" s="44" t="str">
        <f>A14+1</f>
        <v>0</v>
      </c>
      <c r="B15" s="44" t="s">
        <v>19</v>
      </c>
      <c r="C15" s="45" t="s">
        <v>20</v>
      </c>
      <c r="D15" s="46">
        <v>140</v>
      </c>
      <c r="E15" s="47">
        <v>116</v>
      </c>
      <c r="F15" s="48">
        <v>16240</v>
      </c>
      <c r="G15" s="47">
        <v>0</v>
      </c>
      <c r="H15" s="48">
        <v>0</v>
      </c>
      <c r="I15" s="47">
        <v>116</v>
      </c>
      <c r="J15" s="48">
        <v>16240</v>
      </c>
    </row>
    <row r="16" spans="1:10">
      <c r="A16" s="44" t="str">
        <f>A15+1</f>
        <v>0</v>
      </c>
      <c r="B16" s="44" t="s">
        <v>21</v>
      </c>
      <c r="C16" s="45" t="s">
        <v>22</v>
      </c>
      <c r="D16" s="46">
        <v>140</v>
      </c>
      <c r="E16" s="47">
        <v>178</v>
      </c>
      <c r="F16" s="48">
        <v>24920</v>
      </c>
      <c r="G16" s="47">
        <v>180</v>
      </c>
      <c r="H16" s="48">
        <v>25200</v>
      </c>
      <c r="I16" s="47">
        <v>-2</v>
      </c>
      <c r="J16" s="48">
        <v>-280</v>
      </c>
    </row>
    <row r="17" spans="1:10">
      <c r="A17" s="44" t="str">
        <f>A16+1</f>
        <v>0</v>
      </c>
      <c r="B17" s="44" t="s">
        <v>23</v>
      </c>
      <c r="C17" s="45" t="s">
        <v>24</v>
      </c>
      <c r="D17" s="46">
        <v>140</v>
      </c>
      <c r="E17" s="47">
        <v>20</v>
      </c>
      <c r="F17" s="48">
        <v>2800</v>
      </c>
      <c r="G17" s="47">
        <v>0</v>
      </c>
      <c r="H17" s="48">
        <v>0</v>
      </c>
      <c r="I17" s="47">
        <v>20</v>
      </c>
      <c r="J17" s="48">
        <v>2800</v>
      </c>
    </row>
    <row r="18" spans="1:10">
      <c r="A18" s="44" t="str">
        <f>A17+1</f>
        <v>0</v>
      </c>
      <c r="B18" s="44" t="s">
        <v>25</v>
      </c>
      <c r="C18" s="45" t="s">
        <v>26</v>
      </c>
      <c r="D18" s="46">
        <v>75</v>
      </c>
      <c r="E18" s="47">
        <v>760</v>
      </c>
      <c r="F18" s="48">
        <v>57000</v>
      </c>
      <c r="G18" s="47">
        <v>40</v>
      </c>
      <c r="H18" s="48">
        <v>3000</v>
      </c>
      <c r="I18" s="47">
        <v>720</v>
      </c>
      <c r="J18" s="48">
        <v>54000</v>
      </c>
    </row>
    <row r="19" spans="1:10">
      <c r="A19" s="44" t="str">
        <f>A18+1</f>
        <v>0</v>
      </c>
      <c r="B19" s="44" t="s">
        <v>27</v>
      </c>
      <c r="C19" s="45" t="s">
        <v>28</v>
      </c>
      <c r="D19" s="46">
        <v>75</v>
      </c>
      <c r="E19" s="47">
        <v>100</v>
      </c>
      <c r="F19" s="48">
        <v>7500</v>
      </c>
      <c r="G19" s="47">
        <v>0</v>
      </c>
      <c r="H19" s="48">
        <v>0</v>
      </c>
      <c r="I19" s="47">
        <v>100</v>
      </c>
      <c r="J19" s="48">
        <v>7500</v>
      </c>
    </row>
    <row r="20" spans="1:10">
      <c r="A20" s="44" t="str">
        <f>A19+1</f>
        <v>0</v>
      </c>
      <c r="B20" s="44" t="s">
        <v>29</v>
      </c>
      <c r="C20" s="45" t="s">
        <v>30</v>
      </c>
      <c r="D20" s="46">
        <v>75</v>
      </c>
      <c r="E20" s="47">
        <v>80</v>
      </c>
      <c r="F20" s="48">
        <v>6000</v>
      </c>
      <c r="G20" s="47">
        <v>0</v>
      </c>
      <c r="H20" s="48">
        <v>0</v>
      </c>
      <c r="I20" s="47">
        <v>80</v>
      </c>
      <c r="J20" s="48">
        <v>6000</v>
      </c>
    </row>
    <row r="21" spans="1:10">
      <c r="A21" s="44" t="str">
        <f>A20+1</f>
        <v>0</v>
      </c>
      <c r="B21" s="44" t="s">
        <v>31</v>
      </c>
      <c r="C21" s="45" t="s">
        <v>32</v>
      </c>
      <c r="D21" s="46">
        <v>400</v>
      </c>
      <c r="E21" s="47">
        <v>360</v>
      </c>
      <c r="F21" s="48">
        <v>144000</v>
      </c>
      <c r="G21" s="47">
        <v>15</v>
      </c>
      <c r="H21" s="48">
        <v>6000</v>
      </c>
      <c r="I21" s="47">
        <v>345</v>
      </c>
      <c r="J21" s="48">
        <v>138000</v>
      </c>
    </row>
    <row r="22" spans="1:10">
      <c r="A22" s="44" t="str">
        <f>A21+1</f>
        <v>0</v>
      </c>
      <c r="B22" s="44" t="s">
        <v>33</v>
      </c>
      <c r="C22" s="45" t="s">
        <v>34</v>
      </c>
      <c r="D22" s="46">
        <v>400</v>
      </c>
      <c r="E22" s="47">
        <v>875</v>
      </c>
      <c r="F22" s="48">
        <v>350000</v>
      </c>
      <c r="G22" s="47">
        <v>30</v>
      </c>
      <c r="H22" s="48">
        <v>12000</v>
      </c>
      <c r="I22" s="47">
        <v>845</v>
      </c>
      <c r="J22" s="48">
        <v>338000</v>
      </c>
    </row>
    <row r="23" spans="1:10">
      <c r="A23" s="44" t="str">
        <f>A22+1</f>
        <v>0</v>
      </c>
      <c r="B23" s="44" t="s">
        <v>35</v>
      </c>
      <c r="C23" s="45" t="s">
        <v>36</v>
      </c>
      <c r="D23" s="46">
        <v>400</v>
      </c>
      <c r="E23" s="47">
        <v>334</v>
      </c>
      <c r="F23" s="48">
        <v>133600</v>
      </c>
      <c r="G23" s="47">
        <v>151</v>
      </c>
      <c r="H23" s="48">
        <v>60400</v>
      </c>
      <c r="I23" s="47">
        <v>183</v>
      </c>
      <c r="J23" s="48">
        <v>73200</v>
      </c>
    </row>
    <row r="24" spans="1:10">
      <c r="A24" s="44" t="str">
        <f>A23+1</f>
        <v>0</v>
      </c>
      <c r="B24" s="44" t="s">
        <v>37</v>
      </c>
      <c r="C24" s="45" t="s">
        <v>38</v>
      </c>
      <c r="D24" s="46">
        <v>400</v>
      </c>
      <c r="E24" s="47">
        <v>240</v>
      </c>
      <c r="F24" s="48">
        <v>96000</v>
      </c>
      <c r="G24" s="47">
        <v>147</v>
      </c>
      <c r="H24" s="48">
        <v>58800</v>
      </c>
      <c r="I24" s="47">
        <v>93</v>
      </c>
      <c r="J24" s="48">
        <v>37200</v>
      </c>
    </row>
    <row r="25" spans="1:10">
      <c r="A25" s="44" t="str">
        <f>A24+1</f>
        <v>0</v>
      </c>
      <c r="B25" s="44" t="s">
        <v>39</v>
      </c>
      <c r="C25" s="45" t="s">
        <v>40</v>
      </c>
      <c r="D25" s="46">
        <v>400</v>
      </c>
      <c r="E25" s="47">
        <v>390</v>
      </c>
      <c r="F25" s="48">
        <v>156000</v>
      </c>
      <c r="G25" s="47">
        <v>152</v>
      </c>
      <c r="H25" s="48">
        <v>60800</v>
      </c>
      <c r="I25" s="47">
        <v>238</v>
      </c>
      <c r="J25" s="48">
        <v>95200</v>
      </c>
    </row>
    <row r="26" spans="1:10">
      <c r="A26" s="44" t="str">
        <f>A25+1</f>
        <v>0</v>
      </c>
      <c r="B26" s="44" t="s">
        <v>41</v>
      </c>
      <c r="C26" s="45" t="s">
        <v>42</v>
      </c>
      <c r="D26" s="46">
        <v>400</v>
      </c>
      <c r="E26" s="47">
        <v>360</v>
      </c>
      <c r="F26" s="48">
        <v>144000</v>
      </c>
      <c r="G26" s="47">
        <v>95</v>
      </c>
      <c r="H26" s="48">
        <v>38000</v>
      </c>
      <c r="I26" s="47">
        <v>265</v>
      </c>
      <c r="J26" s="48">
        <v>106000</v>
      </c>
    </row>
    <row r="27" spans="1:10">
      <c r="A27" s="44" t="str">
        <f>A26+1</f>
        <v>0</v>
      </c>
      <c r="B27" s="44" t="s">
        <v>43</v>
      </c>
      <c r="C27" s="45" t="s">
        <v>44</v>
      </c>
      <c r="D27" s="46">
        <v>230</v>
      </c>
      <c r="E27" s="47">
        <v>20</v>
      </c>
      <c r="F27" s="48">
        <v>4600</v>
      </c>
      <c r="G27" s="47">
        <v>20</v>
      </c>
      <c r="H27" s="48">
        <v>4600</v>
      </c>
      <c r="I27" s="47">
        <v>0</v>
      </c>
      <c r="J27" s="48">
        <v>0</v>
      </c>
    </row>
    <row r="28" spans="1:10">
      <c r="A28" s="44" t="str">
        <f>A27+1</f>
        <v>0</v>
      </c>
      <c r="B28" s="44" t="s">
        <v>45</v>
      </c>
      <c r="C28" s="45" t="s">
        <v>46</v>
      </c>
      <c r="D28" s="46">
        <v>230</v>
      </c>
      <c r="E28" s="47">
        <v>9</v>
      </c>
      <c r="F28" s="48">
        <v>2070</v>
      </c>
      <c r="G28" s="47">
        <v>0</v>
      </c>
      <c r="H28" s="48">
        <v>0</v>
      </c>
      <c r="I28" s="47">
        <v>9</v>
      </c>
      <c r="J28" s="48">
        <v>2070</v>
      </c>
    </row>
    <row r="29" spans="1:10">
      <c r="A29" s="44" t="str">
        <f>A28+1</f>
        <v>0</v>
      </c>
      <c r="B29" s="44" t="s">
        <v>47</v>
      </c>
      <c r="C29" s="45" t="s">
        <v>48</v>
      </c>
      <c r="D29" s="46">
        <v>230</v>
      </c>
      <c r="E29" s="47">
        <v>20</v>
      </c>
      <c r="F29" s="48">
        <v>4600</v>
      </c>
      <c r="G29" s="47">
        <v>20</v>
      </c>
      <c r="H29" s="48">
        <v>4600</v>
      </c>
      <c r="I29" s="47">
        <v>0</v>
      </c>
      <c r="J29" s="48">
        <v>0</v>
      </c>
    </row>
    <row r="30" spans="1:10">
      <c r="A30" s="44" t="str">
        <f>A29+1</f>
        <v>0</v>
      </c>
      <c r="B30" s="44" t="s">
        <v>49</v>
      </c>
      <c r="C30" s="45" t="s">
        <v>50</v>
      </c>
      <c r="D30" s="46">
        <v>230</v>
      </c>
      <c r="E30" s="47">
        <v>20</v>
      </c>
      <c r="F30" s="48">
        <v>4600</v>
      </c>
      <c r="G30" s="47">
        <v>20</v>
      </c>
      <c r="H30" s="48">
        <v>4600</v>
      </c>
      <c r="I30" s="47">
        <v>0</v>
      </c>
      <c r="J30" s="48">
        <v>0</v>
      </c>
    </row>
    <row r="31" spans="1:10">
      <c r="A31" s="44" t="str">
        <f>A30+1</f>
        <v>0</v>
      </c>
      <c r="B31" s="44" t="s">
        <v>51</v>
      </c>
      <c r="C31" s="45" t="s">
        <v>52</v>
      </c>
      <c r="D31" s="46">
        <v>230</v>
      </c>
      <c r="E31" s="47">
        <v>20</v>
      </c>
      <c r="F31" s="48">
        <v>4600</v>
      </c>
      <c r="G31" s="47">
        <v>20</v>
      </c>
      <c r="H31" s="48">
        <v>4600</v>
      </c>
      <c r="I31" s="47">
        <v>0</v>
      </c>
      <c r="J31" s="48">
        <v>0</v>
      </c>
    </row>
    <row r="32" spans="1:10">
      <c r="A32" s="44" t="str">
        <f>A31+1</f>
        <v>0</v>
      </c>
      <c r="B32" s="44" t="s">
        <v>53</v>
      </c>
      <c r="C32" s="45" t="s">
        <v>54</v>
      </c>
      <c r="D32" s="46">
        <v>230</v>
      </c>
      <c r="E32" s="47">
        <v>30</v>
      </c>
      <c r="F32" s="48">
        <v>6900</v>
      </c>
      <c r="G32" s="47">
        <v>0</v>
      </c>
      <c r="H32" s="48">
        <v>0</v>
      </c>
      <c r="I32" s="47">
        <v>30</v>
      </c>
      <c r="J32" s="48">
        <v>6900</v>
      </c>
    </row>
    <row r="33" spans="1:10">
      <c r="A33" s="44" t="str">
        <f>A32+1</f>
        <v>0</v>
      </c>
      <c r="B33" s="44" t="s">
        <v>55</v>
      </c>
      <c r="C33" s="45" t="s">
        <v>56</v>
      </c>
      <c r="D33" s="46">
        <v>35</v>
      </c>
      <c r="E33" s="47">
        <v>168</v>
      </c>
      <c r="F33" s="48">
        <v>5880</v>
      </c>
      <c r="G33" s="47">
        <v>139</v>
      </c>
      <c r="H33" s="48">
        <v>4865</v>
      </c>
      <c r="I33" s="47">
        <v>29</v>
      </c>
      <c r="J33" s="48">
        <v>1015</v>
      </c>
    </row>
    <row r="34" spans="1:10">
      <c r="A34" s="44" t="str">
        <f>A33+1</f>
        <v>0</v>
      </c>
      <c r="B34" s="44" t="s">
        <v>57</v>
      </c>
      <c r="C34" s="45" t="s">
        <v>58</v>
      </c>
      <c r="D34" s="46">
        <v>35</v>
      </c>
      <c r="E34" s="47">
        <v>461</v>
      </c>
      <c r="F34" s="48">
        <v>16135</v>
      </c>
      <c r="G34" s="47">
        <v>361</v>
      </c>
      <c r="H34" s="48">
        <v>12635</v>
      </c>
      <c r="I34" s="47">
        <v>100</v>
      </c>
      <c r="J34" s="48">
        <v>3500</v>
      </c>
    </row>
    <row r="35" spans="1:10">
      <c r="A35" s="44" t="str">
        <f>A34+1</f>
        <v>0</v>
      </c>
      <c r="B35" s="44" t="s">
        <v>59</v>
      </c>
      <c r="C35" s="45" t="s">
        <v>60</v>
      </c>
      <c r="D35" s="46">
        <v>280</v>
      </c>
      <c r="E35" s="47">
        <v>65</v>
      </c>
      <c r="F35" s="48">
        <v>18200</v>
      </c>
      <c r="G35" s="47">
        <v>24</v>
      </c>
      <c r="H35" s="48">
        <v>6720</v>
      </c>
      <c r="I35" s="47">
        <v>41</v>
      </c>
      <c r="J35" s="48">
        <v>11480</v>
      </c>
    </row>
    <row r="36" spans="1:10">
      <c r="A36" s="44" t="str">
        <f>A35+1</f>
        <v>0</v>
      </c>
      <c r="B36" s="44" t="s">
        <v>61</v>
      </c>
      <c r="C36" s="45" t="s">
        <v>62</v>
      </c>
      <c r="D36" s="46">
        <v>280</v>
      </c>
      <c r="E36" s="47">
        <v>50</v>
      </c>
      <c r="F36" s="48">
        <v>14000</v>
      </c>
      <c r="G36" s="47">
        <v>0</v>
      </c>
      <c r="H36" s="48">
        <v>0</v>
      </c>
      <c r="I36" s="47">
        <v>50</v>
      </c>
      <c r="J36" s="48">
        <v>14000</v>
      </c>
    </row>
    <row r="37" spans="1:10">
      <c r="A37" s="44" t="str">
        <f>A36+1</f>
        <v>0</v>
      </c>
      <c r="B37" s="44" t="s">
        <v>63</v>
      </c>
      <c r="C37" s="45" t="s">
        <v>64</v>
      </c>
      <c r="D37" s="46">
        <v>280</v>
      </c>
      <c r="E37" s="47">
        <v>45</v>
      </c>
      <c r="F37" s="48">
        <v>12600</v>
      </c>
      <c r="G37" s="47">
        <v>32</v>
      </c>
      <c r="H37" s="48">
        <v>8960</v>
      </c>
      <c r="I37" s="47">
        <v>13</v>
      </c>
      <c r="J37" s="48">
        <v>3640</v>
      </c>
    </row>
    <row r="38" spans="1:10">
      <c r="A38" s="44" t="str">
        <f>A37+1</f>
        <v>0</v>
      </c>
      <c r="B38" s="44" t="s">
        <v>63</v>
      </c>
      <c r="C38" s="45" t="s">
        <v>64</v>
      </c>
      <c r="D38" s="46">
        <v>275</v>
      </c>
      <c r="E38" s="47">
        <v>0</v>
      </c>
      <c r="F38" s="48">
        <v>0</v>
      </c>
      <c r="G38" s="47">
        <v>15</v>
      </c>
      <c r="H38" s="48">
        <v>4125</v>
      </c>
      <c r="I38" s="47">
        <v>-15</v>
      </c>
      <c r="J38" s="48">
        <v>-4125</v>
      </c>
    </row>
    <row r="39" spans="1:10">
      <c r="A39" s="44" t="str">
        <f>A38+1</f>
        <v>0</v>
      </c>
      <c r="B39" s="44" t="s">
        <v>65</v>
      </c>
      <c r="C39" s="45" t="s">
        <v>66</v>
      </c>
      <c r="D39" s="46">
        <v>280</v>
      </c>
      <c r="E39" s="47">
        <v>2</v>
      </c>
      <c r="F39" s="48">
        <v>560</v>
      </c>
      <c r="G39" s="47">
        <v>0</v>
      </c>
      <c r="H39" s="48">
        <v>0</v>
      </c>
      <c r="I39" s="47">
        <v>2</v>
      </c>
      <c r="J39" s="48">
        <v>560</v>
      </c>
    </row>
    <row r="40" spans="1:10">
      <c r="A40" s="44" t="str">
        <f>A39+1</f>
        <v>0</v>
      </c>
      <c r="B40" s="44" t="s">
        <v>67</v>
      </c>
      <c r="C40" s="45" t="s">
        <v>68</v>
      </c>
      <c r="D40" s="46">
        <v>175</v>
      </c>
      <c r="E40" s="47">
        <v>234</v>
      </c>
      <c r="F40" s="48">
        <v>40950</v>
      </c>
      <c r="G40" s="47">
        <v>234</v>
      </c>
      <c r="H40" s="48">
        <v>40950</v>
      </c>
      <c r="I40" s="47">
        <v>0</v>
      </c>
      <c r="J40" s="48">
        <v>0</v>
      </c>
    </row>
    <row r="41" spans="1:10">
      <c r="A41" s="44" t="str">
        <f>A40+1</f>
        <v>0</v>
      </c>
      <c r="B41" s="44" t="s">
        <v>69</v>
      </c>
      <c r="C41" s="45" t="s">
        <v>70</v>
      </c>
      <c r="D41" s="46">
        <v>175</v>
      </c>
      <c r="E41" s="47">
        <v>727</v>
      </c>
      <c r="F41" s="48">
        <v>127225</v>
      </c>
      <c r="G41" s="47">
        <v>689</v>
      </c>
      <c r="H41" s="48">
        <v>120575</v>
      </c>
      <c r="I41" s="47">
        <v>38</v>
      </c>
      <c r="J41" s="48">
        <v>6650</v>
      </c>
    </row>
    <row r="42" spans="1:10">
      <c r="A42" s="44" t="str">
        <f>A41+1</f>
        <v>0</v>
      </c>
      <c r="B42" s="44" t="s">
        <v>71</v>
      </c>
      <c r="C42" s="45" t="s">
        <v>72</v>
      </c>
      <c r="D42" s="46">
        <v>175</v>
      </c>
      <c r="E42" s="47">
        <v>160</v>
      </c>
      <c r="F42" s="48">
        <v>28000</v>
      </c>
      <c r="G42" s="47">
        <v>40</v>
      </c>
      <c r="H42" s="48">
        <v>7000</v>
      </c>
      <c r="I42" s="47">
        <v>120</v>
      </c>
      <c r="J42" s="48">
        <v>21000</v>
      </c>
    </row>
    <row r="43" spans="1:10">
      <c r="A43" s="44" t="str">
        <f>A42+1</f>
        <v>0</v>
      </c>
      <c r="B43" s="44" t="s">
        <v>73</v>
      </c>
      <c r="C43" s="45" t="s">
        <v>74</v>
      </c>
      <c r="D43" s="46">
        <v>175</v>
      </c>
      <c r="E43" s="47">
        <v>180</v>
      </c>
      <c r="F43" s="48">
        <v>31500</v>
      </c>
      <c r="G43" s="47">
        <v>30</v>
      </c>
      <c r="H43" s="48">
        <v>5250</v>
      </c>
      <c r="I43" s="47">
        <v>150</v>
      </c>
      <c r="J43" s="48">
        <v>26250</v>
      </c>
    </row>
    <row r="44" spans="1:10">
      <c r="A44" s="44" t="str">
        <f>A43+1</f>
        <v>0</v>
      </c>
      <c r="B44" s="44" t="s">
        <v>75</v>
      </c>
      <c r="C44" s="45" t="s">
        <v>76</v>
      </c>
      <c r="D44" s="46">
        <v>175</v>
      </c>
      <c r="E44" s="47">
        <v>60</v>
      </c>
      <c r="F44" s="48">
        <v>10500</v>
      </c>
      <c r="G44" s="47">
        <v>0</v>
      </c>
      <c r="H44" s="48">
        <v>0</v>
      </c>
      <c r="I44" s="47">
        <v>60</v>
      </c>
      <c r="J44" s="48">
        <v>10500</v>
      </c>
    </row>
    <row r="45" spans="1:10">
      <c r="A45" s="44" t="str">
        <f>A44+1</f>
        <v>0</v>
      </c>
      <c r="B45" s="44" t="s">
        <v>77</v>
      </c>
      <c r="C45" s="45" t="s">
        <v>78</v>
      </c>
      <c r="D45" s="46">
        <v>175</v>
      </c>
      <c r="E45" s="47">
        <v>9</v>
      </c>
      <c r="F45" s="48">
        <v>1575</v>
      </c>
      <c r="G45" s="47">
        <v>13</v>
      </c>
      <c r="H45" s="48">
        <v>2275</v>
      </c>
      <c r="I45" s="47">
        <v>-4</v>
      </c>
      <c r="J45" s="48">
        <v>-700</v>
      </c>
    </row>
    <row r="46" spans="1:10">
      <c r="A46" s="44" t="str">
        <f>A45+1</f>
        <v>0</v>
      </c>
      <c r="B46" s="44" t="s">
        <v>79</v>
      </c>
      <c r="C46" s="45" t="s">
        <v>80</v>
      </c>
      <c r="D46" s="46">
        <v>175</v>
      </c>
      <c r="E46" s="47">
        <v>140</v>
      </c>
      <c r="F46" s="48">
        <v>24500</v>
      </c>
      <c r="G46" s="47">
        <v>0</v>
      </c>
      <c r="H46" s="48">
        <v>0</v>
      </c>
      <c r="I46" s="47">
        <v>140</v>
      </c>
      <c r="J46" s="48">
        <v>24500</v>
      </c>
    </row>
    <row r="47" spans="1:10">
      <c r="A47" s="44" t="str">
        <f>A46+1</f>
        <v>0</v>
      </c>
      <c r="B47" s="44" t="s">
        <v>81</v>
      </c>
      <c r="C47" s="45" t="s">
        <v>82</v>
      </c>
      <c r="D47" s="46">
        <v>175</v>
      </c>
      <c r="E47" s="47">
        <v>260</v>
      </c>
      <c r="F47" s="48">
        <v>45500</v>
      </c>
      <c r="G47" s="47">
        <v>20</v>
      </c>
      <c r="H47" s="48">
        <v>3500</v>
      </c>
      <c r="I47" s="47">
        <v>240</v>
      </c>
      <c r="J47" s="48">
        <v>42000</v>
      </c>
    </row>
    <row r="48" spans="1:10">
      <c r="A48" s="44" t="str">
        <f>A47+1</f>
        <v>0</v>
      </c>
      <c r="B48" s="44" t="s">
        <v>83</v>
      </c>
      <c r="C48" s="45" t="s">
        <v>84</v>
      </c>
      <c r="D48" s="46">
        <v>175</v>
      </c>
      <c r="E48" s="47">
        <v>10</v>
      </c>
      <c r="F48" s="48">
        <v>1750</v>
      </c>
      <c r="G48" s="47">
        <v>0</v>
      </c>
      <c r="H48" s="48">
        <v>0</v>
      </c>
      <c r="I48" s="47">
        <v>10</v>
      </c>
      <c r="J48" s="48">
        <v>1750</v>
      </c>
    </row>
    <row r="49" spans="1:10">
      <c r="A49" s="44" t="str">
        <f>A48+1</f>
        <v>0</v>
      </c>
      <c r="B49" s="44" t="s">
        <v>85</v>
      </c>
      <c r="C49" s="45" t="s">
        <v>86</v>
      </c>
      <c r="D49" s="46">
        <v>175</v>
      </c>
      <c r="E49" s="47">
        <v>30</v>
      </c>
      <c r="F49" s="48">
        <v>5250</v>
      </c>
      <c r="G49" s="47">
        <v>0</v>
      </c>
      <c r="H49" s="48">
        <v>0</v>
      </c>
      <c r="I49" s="47">
        <v>30</v>
      </c>
      <c r="J49" s="48">
        <v>5250</v>
      </c>
    </row>
    <row r="50" spans="1:10">
      <c r="A50" s="44" t="str">
        <f>A49+1</f>
        <v>0</v>
      </c>
      <c r="B50" s="44" t="s">
        <v>87</v>
      </c>
      <c r="C50" s="45" t="s">
        <v>88</v>
      </c>
      <c r="D50" s="46">
        <v>85</v>
      </c>
      <c r="E50" s="47">
        <v>108</v>
      </c>
      <c r="F50" s="48">
        <v>9180</v>
      </c>
      <c r="G50" s="47">
        <v>51</v>
      </c>
      <c r="H50" s="48">
        <v>4335</v>
      </c>
      <c r="I50" s="47">
        <v>57</v>
      </c>
      <c r="J50" s="48">
        <v>4845</v>
      </c>
    </row>
    <row r="51" spans="1:10">
      <c r="A51" s="44" t="str">
        <f>A50+1</f>
        <v>0</v>
      </c>
      <c r="B51" s="44" t="s">
        <v>89</v>
      </c>
      <c r="C51" s="45" t="s">
        <v>90</v>
      </c>
      <c r="D51" s="46">
        <v>150</v>
      </c>
      <c r="E51" s="47">
        <v>500</v>
      </c>
      <c r="F51" s="48">
        <v>75000</v>
      </c>
      <c r="G51" s="47">
        <v>400</v>
      </c>
      <c r="H51" s="48">
        <v>60000</v>
      </c>
      <c r="I51" s="47">
        <v>100</v>
      </c>
      <c r="J51" s="48">
        <v>15000</v>
      </c>
    </row>
    <row r="52" spans="1:10">
      <c r="A52" s="44" t="str">
        <f>A51+1</f>
        <v>0</v>
      </c>
      <c r="B52" s="44" t="s">
        <v>91</v>
      </c>
      <c r="C52" s="45" t="s">
        <v>92</v>
      </c>
      <c r="D52" s="46">
        <v>60</v>
      </c>
      <c r="E52" s="47">
        <v>35</v>
      </c>
      <c r="F52" s="48">
        <v>2100</v>
      </c>
      <c r="G52" s="47">
        <v>23</v>
      </c>
      <c r="H52" s="48">
        <v>1380</v>
      </c>
      <c r="I52" s="47">
        <v>12</v>
      </c>
      <c r="J52" s="48">
        <v>720</v>
      </c>
    </row>
    <row r="53" spans="1:10">
      <c r="A53" s="44" t="str">
        <f>A52+1</f>
        <v>0</v>
      </c>
      <c r="B53" s="44" t="s">
        <v>93</v>
      </c>
      <c r="C53" s="45" t="s">
        <v>94</v>
      </c>
      <c r="D53" s="46">
        <v>280</v>
      </c>
      <c r="E53" s="47">
        <v>7</v>
      </c>
      <c r="F53" s="48">
        <v>1960</v>
      </c>
      <c r="G53" s="47">
        <v>0</v>
      </c>
      <c r="H53" s="48">
        <v>0</v>
      </c>
      <c r="I53" s="47">
        <v>7</v>
      </c>
      <c r="J53" s="48">
        <v>1960</v>
      </c>
    </row>
    <row r="54" spans="1:10">
      <c r="A54" s="44" t="str">
        <f>A53+1</f>
        <v>0</v>
      </c>
      <c r="B54" s="44" t="s">
        <v>95</v>
      </c>
      <c r="C54" s="45" t="s">
        <v>96</v>
      </c>
      <c r="D54" s="46">
        <v>230</v>
      </c>
      <c r="E54" s="47">
        <v>146</v>
      </c>
      <c r="F54" s="48">
        <v>33580</v>
      </c>
      <c r="G54" s="47">
        <v>0</v>
      </c>
      <c r="H54" s="48">
        <v>0</v>
      </c>
      <c r="I54" s="47">
        <v>146</v>
      </c>
      <c r="J54" s="48">
        <v>33580</v>
      </c>
    </row>
    <row r="55" spans="1:10">
      <c r="A55" s="44" t="str">
        <f>A54+1</f>
        <v>0</v>
      </c>
      <c r="B55" s="44" t="s">
        <v>97</v>
      </c>
      <c r="C55" s="45" t="s">
        <v>98</v>
      </c>
      <c r="D55" s="46">
        <v>230</v>
      </c>
      <c r="E55" s="47">
        <v>200</v>
      </c>
      <c r="F55" s="48">
        <v>46000</v>
      </c>
      <c r="G55" s="47">
        <v>0</v>
      </c>
      <c r="H55" s="48">
        <v>0</v>
      </c>
      <c r="I55" s="47">
        <v>200</v>
      </c>
      <c r="J55" s="48">
        <v>46000</v>
      </c>
    </row>
    <row r="56" spans="1:10">
      <c r="A56" s="44" t="str">
        <f>A55+1</f>
        <v>0</v>
      </c>
      <c r="B56" s="44" t="s">
        <v>99</v>
      </c>
      <c r="C56" s="45" t="s">
        <v>100</v>
      </c>
      <c r="D56" s="46">
        <v>230</v>
      </c>
      <c r="E56" s="47">
        <v>213</v>
      </c>
      <c r="F56" s="48">
        <v>48990</v>
      </c>
      <c r="G56" s="47">
        <v>0</v>
      </c>
      <c r="H56" s="48">
        <v>0</v>
      </c>
      <c r="I56" s="47">
        <v>213</v>
      </c>
      <c r="J56" s="48">
        <v>48990</v>
      </c>
    </row>
    <row r="57" spans="1:10">
      <c r="A57" s="44" t="str">
        <f>A56+1</f>
        <v>0</v>
      </c>
      <c r="B57" s="44" t="s">
        <v>101</v>
      </c>
      <c r="C57" s="45" t="s">
        <v>102</v>
      </c>
      <c r="D57" s="46">
        <v>230</v>
      </c>
      <c r="E57" s="47">
        <v>50</v>
      </c>
      <c r="F57" s="48">
        <v>11500</v>
      </c>
      <c r="G57" s="47">
        <v>0</v>
      </c>
      <c r="H57" s="48">
        <v>0</v>
      </c>
      <c r="I57" s="47">
        <v>50</v>
      </c>
      <c r="J57" s="48">
        <v>11500</v>
      </c>
    </row>
    <row r="58" spans="1:10">
      <c r="A58" s="44" t="str">
        <f>A57+1</f>
        <v>0</v>
      </c>
      <c r="B58" s="44" t="s">
        <v>103</v>
      </c>
      <c r="C58" s="45" t="s">
        <v>104</v>
      </c>
      <c r="D58" s="46">
        <v>230</v>
      </c>
      <c r="E58" s="47">
        <v>134</v>
      </c>
      <c r="F58" s="48">
        <v>30820</v>
      </c>
      <c r="G58" s="47">
        <v>0</v>
      </c>
      <c r="H58" s="48">
        <v>0</v>
      </c>
      <c r="I58" s="47">
        <v>134</v>
      </c>
      <c r="J58" s="48">
        <v>30820</v>
      </c>
    </row>
    <row r="59" spans="1:10">
      <c r="A59" s="44" t="str">
        <f>A58+1</f>
        <v>0</v>
      </c>
      <c r="B59" s="44" t="s">
        <v>105</v>
      </c>
      <c r="C59" s="45" t="s">
        <v>106</v>
      </c>
      <c r="D59" s="46">
        <v>230</v>
      </c>
      <c r="E59" s="47">
        <v>82</v>
      </c>
      <c r="F59" s="48">
        <v>18860</v>
      </c>
      <c r="G59" s="47">
        <v>0</v>
      </c>
      <c r="H59" s="48">
        <v>0</v>
      </c>
      <c r="I59" s="47">
        <v>82</v>
      </c>
      <c r="J59" s="48">
        <v>18860</v>
      </c>
    </row>
    <row r="60" spans="1:10">
      <c r="A60" s="44" t="str">
        <f>A59+1</f>
        <v>0</v>
      </c>
      <c r="B60" s="44" t="s">
        <v>107</v>
      </c>
      <c r="C60" s="45" t="s">
        <v>108</v>
      </c>
      <c r="D60" s="46">
        <v>230</v>
      </c>
      <c r="E60" s="47">
        <v>102</v>
      </c>
      <c r="F60" s="48">
        <v>23460</v>
      </c>
      <c r="G60" s="47">
        <v>0</v>
      </c>
      <c r="H60" s="48">
        <v>0</v>
      </c>
      <c r="I60" s="47">
        <v>102</v>
      </c>
      <c r="J60" s="48">
        <v>23460</v>
      </c>
    </row>
    <row r="61" spans="1:10">
      <c r="A61" s="44" t="str">
        <f>A60+1</f>
        <v>0</v>
      </c>
      <c r="B61" s="44" t="s">
        <v>109</v>
      </c>
      <c r="C61" s="45" t="s">
        <v>110</v>
      </c>
      <c r="D61" s="46">
        <v>230</v>
      </c>
      <c r="E61" s="47">
        <v>401</v>
      </c>
      <c r="F61" s="48">
        <v>92230</v>
      </c>
      <c r="G61" s="47">
        <v>0</v>
      </c>
      <c r="H61" s="48">
        <v>0</v>
      </c>
      <c r="I61" s="47">
        <v>401</v>
      </c>
      <c r="J61" s="48">
        <v>92230</v>
      </c>
    </row>
    <row r="62" spans="1:10">
      <c r="A62" s="44" t="str">
        <f>A61+1</f>
        <v>0</v>
      </c>
      <c r="B62" s="44" t="s">
        <v>111</v>
      </c>
      <c r="C62" s="45" t="s">
        <v>112</v>
      </c>
      <c r="D62" s="46">
        <v>230</v>
      </c>
      <c r="E62" s="47">
        <v>162</v>
      </c>
      <c r="F62" s="48">
        <v>37260</v>
      </c>
      <c r="G62" s="47">
        <v>150</v>
      </c>
      <c r="H62" s="48">
        <v>34500</v>
      </c>
      <c r="I62" s="47">
        <v>12</v>
      </c>
      <c r="J62" s="48">
        <v>2760</v>
      </c>
    </row>
    <row r="63" spans="1:10">
      <c r="A63" s="44" t="str">
        <f>A62+1</f>
        <v>0</v>
      </c>
      <c r="B63" s="44" t="s">
        <v>113</v>
      </c>
      <c r="C63" s="45" t="s">
        <v>114</v>
      </c>
      <c r="D63" s="46">
        <v>230</v>
      </c>
      <c r="E63" s="47">
        <v>100</v>
      </c>
      <c r="F63" s="48">
        <v>23000</v>
      </c>
      <c r="G63" s="47">
        <v>0</v>
      </c>
      <c r="H63" s="48">
        <v>0</v>
      </c>
      <c r="I63" s="47">
        <v>100</v>
      </c>
      <c r="J63" s="48">
        <v>23000</v>
      </c>
    </row>
    <row r="64" spans="1:10">
      <c r="A64" s="44" t="str">
        <f>A63+1</f>
        <v>0</v>
      </c>
      <c r="B64" s="44" t="s">
        <v>115</v>
      </c>
      <c r="C64" s="45" t="s">
        <v>116</v>
      </c>
      <c r="D64" s="46">
        <v>230</v>
      </c>
      <c r="E64" s="47">
        <v>402</v>
      </c>
      <c r="F64" s="48">
        <v>92460</v>
      </c>
      <c r="G64" s="47">
        <v>0</v>
      </c>
      <c r="H64" s="48">
        <v>0</v>
      </c>
      <c r="I64" s="47">
        <v>402</v>
      </c>
      <c r="J64" s="48">
        <v>92460</v>
      </c>
    </row>
    <row r="65" spans="1:10">
      <c r="A65" s="44" t="str">
        <f>A64+1</f>
        <v>0</v>
      </c>
      <c r="B65" s="44" t="s">
        <v>117</v>
      </c>
      <c r="C65" s="45" t="s">
        <v>118</v>
      </c>
      <c r="D65" s="46">
        <v>230</v>
      </c>
      <c r="E65" s="47">
        <v>430</v>
      </c>
      <c r="F65" s="48">
        <v>98900</v>
      </c>
      <c r="G65" s="47">
        <v>0</v>
      </c>
      <c r="H65" s="48">
        <v>0</v>
      </c>
      <c r="I65" s="47">
        <v>430</v>
      </c>
      <c r="J65" s="48">
        <v>98900</v>
      </c>
    </row>
    <row r="66" spans="1:10">
      <c r="A66" s="44" t="str">
        <f>A65+1</f>
        <v>0</v>
      </c>
      <c r="B66" s="44" t="s">
        <v>119</v>
      </c>
      <c r="C66" s="45" t="s">
        <v>120</v>
      </c>
      <c r="D66" s="46">
        <v>230</v>
      </c>
      <c r="E66" s="47">
        <v>220</v>
      </c>
      <c r="F66" s="48">
        <v>50600</v>
      </c>
      <c r="G66" s="47">
        <v>0</v>
      </c>
      <c r="H66" s="48">
        <v>0</v>
      </c>
      <c r="I66" s="47">
        <v>220</v>
      </c>
      <c r="J66" s="48">
        <v>50600</v>
      </c>
    </row>
    <row r="67" spans="1:10">
      <c r="A67" s="44" t="str">
        <f>A66+1</f>
        <v>0</v>
      </c>
      <c r="B67" s="44" t="s">
        <v>121</v>
      </c>
      <c r="C67" s="45" t="s">
        <v>122</v>
      </c>
      <c r="D67" s="46">
        <v>230</v>
      </c>
      <c r="E67" s="47">
        <v>170</v>
      </c>
      <c r="F67" s="48">
        <v>39100</v>
      </c>
      <c r="G67" s="47">
        <v>0</v>
      </c>
      <c r="H67" s="48">
        <v>0</v>
      </c>
      <c r="I67" s="47">
        <v>170</v>
      </c>
      <c r="J67" s="48">
        <v>39100</v>
      </c>
    </row>
    <row r="68" spans="1:10">
      <c r="A68" s="44" t="str">
        <f>A67+1</f>
        <v>0</v>
      </c>
      <c r="B68" s="44" t="s">
        <v>123</v>
      </c>
      <c r="C68" s="45" t="s">
        <v>124</v>
      </c>
      <c r="D68" s="46">
        <v>280</v>
      </c>
      <c r="E68" s="47">
        <v>35</v>
      </c>
      <c r="F68" s="48">
        <v>9800</v>
      </c>
      <c r="G68" s="47">
        <v>5</v>
      </c>
      <c r="H68" s="48">
        <v>1400</v>
      </c>
      <c r="I68" s="47">
        <v>30</v>
      </c>
      <c r="J68" s="48">
        <v>8400</v>
      </c>
    </row>
    <row r="69" spans="1:10">
      <c r="A69" s="44" t="str">
        <f>A68+1</f>
        <v>0</v>
      </c>
      <c r="B69" s="44" t="s">
        <v>125</v>
      </c>
      <c r="C69" s="45" t="s">
        <v>126</v>
      </c>
      <c r="D69" s="46">
        <v>280</v>
      </c>
      <c r="E69" s="47">
        <v>35</v>
      </c>
      <c r="F69" s="48">
        <v>9800</v>
      </c>
      <c r="G69" s="47">
        <v>32</v>
      </c>
      <c r="H69" s="48">
        <v>8960</v>
      </c>
      <c r="I69" s="47">
        <v>3</v>
      </c>
      <c r="J69" s="48">
        <v>840</v>
      </c>
    </row>
    <row r="70" spans="1:10">
      <c r="A70" s="44" t="str">
        <f>A69+1</f>
        <v>0</v>
      </c>
      <c r="B70" s="44" t="s">
        <v>127</v>
      </c>
      <c r="C70" s="45" t="s">
        <v>128</v>
      </c>
      <c r="D70" s="46">
        <v>280</v>
      </c>
      <c r="E70" s="47">
        <v>43</v>
      </c>
      <c r="F70" s="48">
        <v>12040</v>
      </c>
      <c r="G70" s="47">
        <v>0</v>
      </c>
      <c r="H70" s="48">
        <v>0</v>
      </c>
      <c r="I70" s="47">
        <v>43</v>
      </c>
      <c r="J70" s="48">
        <v>12040</v>
      </c>
    </row>
    <row r="71" spans="1:10">
      <c r="A71" s="44" t="str">
        <f>A70+1</f>
        <v>0</v>
      </c>
      <c r="B71" s="44" t="s">
        <v>129</v>
      </c>
      <c r="C71" s="45" t="s">
        <v>130</v>
      </c>
      <c r="D71" s="46">
        <v>280</v>
      </c>
      <c r="E71" s="47">
        <v>114</v>
      </c>
      <c r="F71" s="48">
        <v>31920</v>
      </c>
      <c r="G71" s="47">
        <v>10</v>
      </c>
      <c r="H71" s="48">
        <v>2800</v>
      </c>
      <c r="I71" s="47">
        <v>104</v>
      </c>
      <c r="J71" s="48">
        <v>29120</v>
      </c>
    </row>
    <row r="72" spans="1:10">
      <c r="A72" s="44" t="str">
        <f>A71+1</f>
        <v>0</v>
      </c>
      <c r="B72" s="44" t="s">
        <v>131</v>
      </c>
      <c r="C72" s="45" t="s">
        <v>132</v>
      </c>
      <c r="D72" s="46">
        <v>280</v>
      </c>
      <c r="E72" s="47">
        <v>137</v>
      </c>
      <c r="F72" s="48">
        <v>38360</v>
      </c>
      <c r="G72" s="47">
        <v>8</v>
      </c>
      <c r="H72" s="48">
        <v>2240</v>
      </c>
      <c r="I72" s="47">
        <v>129</v>
      </c>
      <c r="J72" s="48">
        <v>36120</v>
      </c>
    </row>
    <row r="73" spans="1:10">
      <c r="A73" s="44" t="str">
        <f>A72+1</f>
        <v>0</v>
      </c>
      <c r="B73" s="44" t="s">
        <v>133</v>
      </c>
      <c r="C73" s="45" t="s">
        <v>134</v>
      </c>
      <c r="D73" s="46">
        <v>280</v>
      </c>
      <c r="E73" s="47">
        <v>49</v>
      </c>
      <c r="F73" s="48">
        <v>13720</v>
      </c>
      <c r="G73" s="47">
        <v>0</v>
      </c>
      <c r="H73" s="48">
        <v>0</v>
      </c>
      <c r="I73" s="47">
        <v>49</v>
      </c>
      <c r="J73" s="48">
        <v>13720</v>
      </c>
    </row>
    <row r="74" spans="1:10">
      <c r="A74" s="44" t="str">
        <f>A73+1</f>
        <v>0</v>
      </c>
      <c r="B74" s="44" t="s">
        <v>135</v>
      </c>
      <c r="C74" s="45" t="s">
        <v>136</v>
      </c>
      <c r="D74" s="46">
        <v>280</v>
      </c>
      <c r="E74" s="47">
        <v>29</v>
      </c>
      <c r="F74" s="48">
        <v>8120</v>
      </c>
      <c r="G74" s="47">
        <v>0</v>
      </c>
      <c r="H74" s="48">
        <v>0</v>
      </c>
      <c r="I74" s="47">
        <v>29</v>
      </c>
      <c r="J74" s="48">
        <v>8120</v>
      </c>
    </row>
    <row r="75" spans="1:10">
      <c r="A75" s="44" t="str">
        <f>A74+1</f>
        <v>0</v>
      </c>
      <c r="B75" s="44" t="s">
        <v>137</v>
      </c>
      <c r="C75" s="45" t="s">
        <v>138</v>
      </c>
      <c r="D75" s="46">
        <v>280</v>
      </c>
      <c r="E75" s="47">
        <v>112</v>
      </c>
      <c r="F75" s="48">
        <v>31360</v>
      </c>
      <c r="G75" s="47">
        <v>10</v>
      </c>
      <c r="H75" s="48">
        <v>2800</v>
      </c>
      <c r="I75" s="47">
        <v>102</v>
      </c>
      <c r="J75" s="48">
        <v>28560</v>
      </c>
    </row>
    <row r="76" spans="1:10">
      <c r="A76" s="44" t="str">
        <f>A75+1</f>
        <v>0</v>
      </c>
      <c r="B76" s="44" t="s">
        <v>139</v>
      </c>
      <c r="C76" s="45" t="s">
        <v>140</v>
      </c>
      <c r="D76" s="46">
        <v>280</v>
      </c>
      <c r="E76" s="47">
        <v>49</v>
      </c>
      <c r="F76" s="48">
        <v>13720</v>
      </c>
      <c r="G76" s="47">
        <v>0</v>
      </c>
      <c r="H76" s="48">
        <v>0</v>
      </c>
      <c r="I76" s="47">
        <v>49</v>
      </c>
      <c r="J76" s="48">
        <v>13720</v>
      </c>
    </row>
    <row r="77" spans="1:10">
      <c r="A77" s="44" t="str">
        <f>A76+1</f>
        <v>0</v>
      </c>
      <c r="B77" s="44" t="s">
        <v>141</v>
      </c>
      <c r="C77" s="45" t="s">
        <v>142</v>
      </c>
      <c r="D77" s="46">
        <v>280</v>
      </c>
      <c r="E77" s="47">
        <v>185</v>
      </c>
      <c r="F77" s="48">
        <v>51800</v>
      </c>
      <c r="G77" s="47">
        <v>0</v>
      </c>
      <c r="H77" s="48">
        <v>0</v>
      </c>
      <c r="I77" s="47">
        <v>185</v>
      </c>
      <c r="J77" s="48">
        <v>51800</v>
      </c>
    </row>
    <row r="78" spans="1:10">
      <c r="A78" s="44" t="str">
        <f>A77+1</f>
        <v>0</v>
      </c>
      <c r="B78" s="44" t="s">
        <v>143</v>
      </c>
      <c r="C78" s="45" t="s">
        <v>144</v>
      </c>
      <c r="D78" s="46">
        <v>35</v>
      </c>
      <c r="E78" s="47">
        <v>40</v>
      </c>
      <c r="F78" s="48">
        <v>1400</v>
      </c>
      <c r="G78" s="47">
        <v>0</v>
      </c>
      <c r="H78" s="48">
        <v>0</v>
      </c>
      <c r="I78" s="47">
        <v>40</v>
      </c>
      <c r="J78" s="48">
        <v>1400</v>
      </c>
    </row>
    <row r="79" spans="1:10">
      <c r="A79" s="44" t="str">
        <f>A78+1</f>
        <v>0</v>
      </c>
      <c r="B79" s="44" t="s">
        <v>145</v>
      </c>
      <c r="C79" s="45" t="s">
        <v>146</v>
      </c>
      <c r="D79" s="46">
        <v>35</v>
      </c>
      <c r="E79" s="47">
        <v>588</v>
      </c>
      <c r="F79" s="48">
        <v>20580</v>
      </c>
      <c r="G79" s="47">
        <v>330</v>
      </c>
      <c r="H79" s="48">
        <v>11550</v>
      </c>
      <c r="I79" s="47">
        <v>258</v>
      </c>
      <c r="J79" s="48">
        <v>9030</v>
      </c>
    </row>
    <row r="80" spans="1:10">
      <c r="A80" s="44" t="str">
        <f>A79+1</f>
        <v>0</v>
      </c>
      <c r="B80" s="44" t="s">
        <v>147</v>
      </c>
      <c r="C80" s="45" t="s">
        <v>148</v>
      </c>
      <c r="D80" s="46">
        <v>35</v>
      </c>
      <c r="E80" s="47">
        <v>80</v>
      </c>
      <c r="F80" s="48">
        <v>2800</v>
      </c>
      <c r="G80" s="47">
        <v>0</v>
      </c>
      <c r="H80" s="48">
        <v>0</v>
      </c>
      <c r="I80" s="47">
        <v>80</v>
      </c>
      <c r="J80" s="48">
        <v>2800</v>
      </c>
    </row>
    <row r="81" spans="1:10">
      <c r="A81" s="44" t="str">
        <f>A80+1</f>
        <v>0</v>
      </c>
      <c r="B81" s="44" t="s">
        <v>149</v>
      </c>
      <c r="C81" s="45" t="s">
        <v>150</v>
      </c>
      <c r="D81" s="46">
        <v>275</v>
      </c>
      <c r="E81" s="47">
        <v>53</v>
      </c>
      <c r="F81" s="48">
        <v>14575</v>
      </c>
      <c r="G81" s="47">
        <v>0</v>
      </c>
      <c r="H81" s="48">
        <v>0</v>
      </c>
      <c r="I81" s="47">
        <v>53</v>
      </c>
      <c r="J81" s="48">
        <v>14575</v>
      </c>
    </row>
    <row r="82" spans="1:10">
      <c r="A82" s="44" t="str">
        <f>A81+1</f>
        <v>0</v>
      </c>
      <c r="B82" s="44" t="s">
        <v>151</v>
      </c>
      <c r="C82" s="45" t="s">
        <v>152</v>
      </c>
      <c r="D82" s="46">
        <v>275</v>
      </c>
      <c r="E82" s="47">
        <v>358</v>
      </c>
      <c r="F82" s="48">
        <v>98450</v>
      </c>
      <c r="G82" s="47">
        <v>200</v>
      </c>
      <c r="H82" s="48">
        <v>55000</v>
      </c>
      <c r="I82" s="47">
        <v>158</v>
      </c>
      <c r="J82" s="48">
        <v>43450</v>
      </c>
    </row>
    <row r="83" spans="1:10">
      <c r="A83" s="44" t="str">
        <f>A82+1</f>
        <v>0</v>
      </c>
      <c r="B83" s="44" t="s">
        <v>153</v>
      </c>
      <c r="C83" s="45" t="s">
        <v>154</v>
      </c>
      <c r="D83" s="46">
        <v>275</v>
      </c>
      <c r="E83" s="47">
        <v>949</v>
      </c>
      <c r="F83" s="48">
        <v>260975</v>
      </c>
      <c r="G83" s="47">
        <v>481</v>
      </c>
      <c r="H83" s="48">
        <v>132275</v>
      </c>
      <c r="I83" s="47">
        <v>468</v>
      </c>
      <c r="J83" s="48">
        <v>128700</v>
      </c>
    </row>
    <row r="84" spans="1:10">
      <c r="A84" s="44" t="str">
        <f>A83+1</f>
        <v>0</v>
      </c>
      <c r="B84" s="44" t="s">
        <v>155</v>
      </c>
      <c r="C84" s="45" t="s">
        <v>156</v>
      </c>
      <c r="D84" s="46">
        <v>275</v>
      </c>
      <c r="E84" s="47">
        <v>550</v>
      </c>
      <c r="F84" s="48">
        <v>151250</v>
      </c>
      <c r="G84" s="47">
        <v>114</v>
      </c>
      <c r="H84" s="48">
        <v>31350</v>
      </c>
      <c r="I84" s="47">
        <v>436</v>
      </c>
      <c r="J84" s="48">
        <v>119900</v>
      </c>
    </row>
    <row r="85" spans="1:10">
      <c r="A85" s="44" t="str">
        <f>A84+1</f>
        <v>0</v>
      </c>
      <c r="B85" s="44" t="s">
        <v>157</v>
      </c>
      <c r="C85" s="45" t="s">
        <v>158</v>
      </c>
      <c r="D85" s="46">
        <v>90</v>
      </c>
      <c r="E85" s="47">
        <v>0</v>
      </c>
      <c r="F85" s="48">
        <v>0</v>
      </c>
      <c r="G85" s="47">
        <v>29</v>
      </c>
      <c r="H85" s="48">
        <v>2610</v>
      </c>
      <c r="I85" s="47">
        <v>-29</v>
      </c>
      <c r="J85" s="48">
        <v>-2610</v>
      </c>
    </row>
    <row r="86" spans="1:10">
      <c r="A86" s="44" t="str">
        <f>A85+1</f>
        <v>0</v>
      </c>
      <c r="B86" s="44" t="s">
        <v>157</v>
      </c>
      <c r="C86" s="45" t="s">
        <v>158</v>
      </c>
      <c r="D86" s="46">
        <v>55.6</v>
      </c>
      <c r="E86" s="47">
        <v>110</v>
      </c>
      <c r="F86" s="48">
        <v>6116</v>
      </c>
      <c r="G86" s="47">
        <v>0</v>
      </c>
      <c r="H86" s="48">
        <v>0</v>
      </c>
      <c r="I86" s="47">
        <v>110</v>
      </c>
      <c r="J86" s="48">
        <v>6116</v>
      </c>
    </row>
    <row r="87" spans="1:10">
      <c r="A87" s="44" t="str">
        <f>A86+1</f>
        <v>0</v>
      </c>
      <c r="B87" s="44" t="s">
        <v>157</v>
      </c>
      <c r="C87" s="45" t="s">
        <v>158</v>
      </c>
      <c r="D87" s="46">
        <v>185</v>
      </c>
      <c r="E87" s="47">
        <v>47</v>
      </c>
      <c r="F87" s="48">
        <v>8695</v>
      </c>
      <c r="G87" s="47">
        <v>22</v>
      </c>
      <c r="H87" s="48">
        <v>4070</v>
      </c>
      <c r="I87" s="47">
        <v>25</v>
      </c>
      <c r="J87" s="48">
        <v>4625</v>
      </c>
    </row>
    <row r="88" spans="1:10">
      <c r="A88" s="44" t="str">
        <f>A87+1</f>
        <v>0</v>
      </c>
      <c r="B88" s="44" t="s">
        <v>159</v>
      </c>
      <c r="C88" s="45" t="s">
        <v>160</v>
      </c>
      <c r="D88" s="46">
        <v>700</v>
      </c>
      <c r="E88" s="47">
        <v>10</v>
      </c>
      <c r="F88" s="48">
        <v>7000</v>
      </c>
      <c r="G88" s="47">
        <v>10</v>
      </c>
      <c r="H88" s="48">
        <v>7000</v>
      </c>
      <c r="I88" s="47">
        <v>0</v>
      </c>
      <c r="J88" s="48">
        <v>0</v>
      </c>
    </row>
    <row r="89" spans="1:10">
      <c r="A89" s="44" t="str">
        <f>A88+1</f>
        <v>0</v>
      </c>
      <c r="B89" s="44" t="s">
        <v>161</v>
      </c>
      <c r="C89" s="45" t="s">
        <v>162</v>
      </c>
      <c r="D89" s="46">
        <v>700</v>
      </c>
      <c r="E89" s="47">
        <v>5</v>
      </c>
      <c r="F89" s="48">
        <v>3500</v>
      </c>
      <c r="G89" s="47">
        <v>3</v>
      </c>
      <c r="H89" s="48">
        <v>2100</v>
      </c>
      <c r="I89" s="47">
        <v>2</v>
      </c>
      <c r="J89" s="48">
        <v>1400</v>
      </c>
    </row>
    <row r="90" spans="1:10">
      <c r="A90" s="44" t="str">
        <f>A89+1</f>
        <v>0</v>
      </c>
      <c r="B90" s="44" t="s">
        <v>163</v>
      </c>
      <c r="C90" s="45" t="s">
        <v>164</v>
      </c>
      <c r="D90" s="46">
        <v>1250</v>
      </c>
      <c r="E90" s="47">
        <v>20</v>
      </c>
      <c r="F90" s="48">
        <v>25000</v>
      </c>
      <c r="G90" s="47">
        <v>6</v>
      </c>
      <c r="H90" s="48">
        <v>7500</v>
      </c>
      <c r="I90" s="47">
        <v>14</v>
      </c>
      <c r="J90" s="48">
        <v>17500</v>
      </c>
    </row>
    <row r="91" spans="1:10">
      <c r="A91" s="44" t="str">
        <f>A90+1</f>
        <v>0</v>
      </c>
      <c r="B91" s="44" t="s">
        <v>165</v>
      </c>
      <c r="C91" s="45" t="s">
        <v>166</v>
      </c>
      <c r="D91" s="46">
        <v>1250</v>
      </c>
      <c r="E91" s="47">
        <v>20</v>
      </c>
      <c r="F91" s="48">
        <v>25000</v>
      </c>
      <c r="G91" s="47">
        <v>10</v>
      </c>
      <c r="H91" s="48">
        <v>12500</v>
      </c>
      <c r="I91" s="47">
        <v>10</v>
      </c>
      <c r="J91" s="48">
        <v>12500</v>
      </c>
    </row>
    <row r="92" spans="1:10">
      <c r="A92" s="44" t="str">
        <f>A91+1</f>
        <v>0</v>
      </c>
      <c r="B92" s="44" t="s">
        <v>167</v>
      </c>
      <c r="C92" s="45" t="s">
        <v>168</v>
      </c>
      <c r="D92" s="46">
        <v>1250</v>
      </c>
      <c r="E92" s="47">
        <v>20</v>
      </c>
      <c r="F92" s="48">
        <v>25000</v>
      </c>
      <c r="G92" s="47">
        <v>20</v>
      </c>
      <c r="H92" s="48">
        <v>25000</v>
      </c>
      <c r="I92" s="47">
        <v>0</v>
      </c>
      <c r="J92" s="48">
        <v>0</v>
      </c>
    </row>
    <row r="93" spans="1:10">
      <c r="A93" s="44" t="str">
        <f>A92+1</f>
        <v>0</v>
      </c>
      <c r="B93" s="44" t="s">
        <v>169</v>
      </c>
      <c r="C93" s="45" t="s">
        <v>170</v>
      </c>
      <c r="D93" s="46">
        <v>1250</v>
      </c>
      <c r="E93" s="47">
        <v>20</v>
      </c>
      <c r="F93" s="48">
        <v>25000</v>
      </c>
      <c r="G93" s="47">
        <v>20</v>
      </c>
      <c r="H93" s="48">
        <v>25000</v>
      </c>
      <c r="I93" s="47">
        <v>0</v>
      </c>
      <c r="J93" s="48">
        <v>0</v>
      </c>
    </row>
    <row r="94" spans="1:10">
      <c r="A94" s="44" t="str">
        <f>A93+1</f>
        <v>0</v>
      </c>
      <c r="B94" s="44" t="s">
        <v>171</v>
      </c>
      <c r="C94" s="45" t="s">
        <v>172</v>
      </c>
      <c r="D94" s="46">
        <v>1250</v>
      </c>
      <c r="E94" s="47">
        <v>30</v>
      </c>
      <c r="F94" s="48">
        <v>37500</v>
      </c>
      <c r="G94" s="47">
        <v>30</v>
      </c>
      <c r="H94" s="48">
        <v>37500</v>
      </c>
      <c r="I94" s="47">
        <v>0</v>
      </c>
      <c r="J94" s="48">
        <v>0</v>
      </c>
    </row>
    <row r="95" spans="1:10">
      <c r="A95" s="44" t="str">
        <f>A94+1</f>
        <v>0</v>
      </c>
      <c r="B95" s="44" t="s">
        <v>173</v>
      </c>
      <c r="C95" s="45" t="s">
        <v>174</v>
      </c>
      <c r="D95" s="46">
        <v>1250</v>
      </c>
      <c r="E95" s="47">
        <v>30</v>
      </c>
      <c r="F95" s="48">
        <v>37500</v>
      </c>
      <c r="G95" s="47">
        <v>29</v>
      </c>
      <c r="H95" s="48">
        <v>36250</v>
      </c>
      <c r="I95" s="47">
        <v>1</v>
      </c>
      <c r="J95" s="48">
        <v>1250</v>
      </c>
    </row>
    <row r="96" spans="1:10">
      <c r="A96" s="44" t="str">
        <f>A95+1</f>
        <v>0</v>
      </c>
      <c r="B96" s="44" t="s">
        <v>175</v>
      </c>
      <c r="C96" s="45" t="s">
        <v>176</v>
      </c>
      <c r="D96" s="46">
        <v>1250</v>
      </c>
      <c r="E96" s="47">
        <v>20</v>
      </c>
      <c r="F96" s="48">
        <v>25000</v>
      </c>
      <c r="G96" s="47">
        <v>12</v>
      </c>
      <c r="H96" s="48">
        <v>15000</v>
      </c>
      <c r="I96" s="47">
        <v>8</v>
      </c>
      <c r="J96" s="48">
        <v>10000</v>
      </c>
    </row>
    <row r="97" spans="1:10">
      <c r="A97" s="44" t="str">
        <f>A96+1</f>
        <v>0</v>
      </c>
      <c r="B97" s="44" t="s">
        <v>177</v>
      </c>
      <c r="C97" s="45" t="s">
        <v>178</v>
      </c>
      <c r="D97" s="46">
        <v>1250</v>
      </c>
      <c r="E97" s="47">
        <v>15</v>
      </c>
      <c r="F97" s="48">
        <v>18750</v>
      </c>
      <c r="G97" s="47">
        <v>3</v>
      </c>
      <c r="H97" s="48">
        <v>3750</v>
      </c>
      <c r="I97" s="47">
        <v>12</v>
      </c>
      <c r="J97" s="48">
        <v>15000</v>
      </c>
    </row>
    <row r="98" spans="1:10">
      <c r="A98" s="44" t="str">
        <f>A97+1</f>
        <v>0</v>
      </c>
      <c r="B98" s="44" t="s">
        <v>177</v>
      </c>
      <c r="C98" s="45" t="s">
        <v>178</v>
      </c>
      <c r="D98" s="46">
        <v>1400</v>
      </c>
      <c r="E98" s="47">
        <v>1</v>
      </c>
      <c r="F98" s="48">
        <v>1400</v>
      </c>
      <c r="G98" s="47">
        <v>1</v>
      </c>
      <c r="H98" s="48">
        <v>1400</v>
      </c>
      <c r="I98" s="47">
        <v>0</v>
      </c>
      <c r="J98" s="48">
        <v>0</v>
      </c>
    </row>
    <row r="99" spans="1:10">
      <c r="A99" s="44" t="str">
        <f>A98+1</f>
        <v>0</v>
      </c>
      <c r="B99" s="44" t="s">
        <v>179</v>
      </c>
      <c r="C99" s="45" t="s">
        <v>180</v>
      </c>
      <c r="D99" s="46">
        <v>1250</v>
      </c>
      <c r="E99" s="47">
        <v>5</v>
      </c>
      <c r="F99" s="48">
        <v>6250</v>
      </c>
      <c r="G99" s="47">
        <v>0</v>
      </c>
      <c r="H99" s="48">
        <v>0</v>
      </c>
      <c r="I99" s="47">
        <v>5</v>
      </c>
      <c r="J99" s="48">
        <v>6250</v>
      </c>
    </row>
    <row r="100" spans="1:10">
      <c r="A100" s="44" t="str">
        <f>A99+1</f>
        <v>0</v>
      </c>
      <c r="B100" s="44" t="s">
        <v>181</v>
      </c>
      <c r="C100" s="45" t="s">
        <v>182</v>
      </c>
      <c r="D100" s="46">
        <v>110</v>
      </c>
      <c r="E100" s="47">
        <v>414</v>
      </c>
      <c r="F100" s="48">
        <v>45540</v>
      </c>
      <c r="G100" s="47">
        <v>0</v>
      </c>
      <c r="H100" s="48">
        <v>0</v>
      </c>
      <c r="I100" s="47">
        <v>414</v>
      </c>
      <c r="J100" s="48">
        <v>45540</v>
      </c>
    </row>
    <row r="101" spans="1:10">
      <c r="A101" s="44" t="str">
        <f>A100+1</f>
        <v>0</v>
      </c>
      <c r="B101" s="44" t="s">
        <v>183</v>
      </c>
      <c r="C101" s="45" t="s">
        <v>184</v>
      </c>
      <c r="D101" s="46">
        <v>110</v>
      </c>
      <c r="E101" s="47">
        <v>1003</v>
      </c>
      <c r="F101" s="48">
        <v>110330</v>
      </c>
      <c r="G101" s="47">
        <v>411</v>
      </c>
      <c r="H101" s="48">
        <v>45210</v>
      </c>
      <c r="I101" s="47">
        <v>592</v>
      </c>
      <c r="J101" s="48">
        <v>65120</v>
      </c>
    </row>
    <row r="102" spans="1:10">
      <c r="A102" s="44" t="str">
        <f>A101+1</f>
        <v>0</v>
      </c>
      <c r="B102" s="44" t="s">
        <v>185</v>
      </c>
      <c r="C102" s="45" t="s">
        <v>186</v>
      </c>
      <c r="D102" s="46">
        <v>110</v>
      </c>
      <c r="E102" s="47">
        <v>770</v>
      </c>
      <c r="F102" s="48">
        <v>84700</v>
      </c>
      <c r="G102" s="47">
        <v>0</v>
      </c>
      <c r="H102" s="48">
        <v>0</v>
      </c>
      <c r="I102" s="47">
        <v>770</v>
      </c>
      <c r="J102" s="48">
        <v>84700</v>
      </c>
    </row>
    <row r="103" spans="1:10">
      <c r="A103" s="44" t="str">
        <f>A102+1</f>
        <v>0</v>
      </c>
      <c r="B103" s="44" t="s">
        <v>187</v>
      </c>
      <c r="C103" s="45" t="s">
        <v>188</v>
      </c>
      <c r="D103" s="46">
        <v>110</v>
      </c>
      <c r="E103" s="47">
        <v>535</v>
      </c>
      <c r="F103" s="48">
        <v>58850</v>
      </c>
      <c r="G103" s="47">
        <v>0</v>
      </c>
      <c r="H103" s="48">
        <v>0</v>
      </c>
      <c r="I103" s="47">
        <v>535</v>
      </c>
      <c r="J103" s="48">
        <v>58850</v>
      </c>
    </row>
    <row r="104" spans="1:10">
      <c r="A104" s="44" t="str">
        <f>A103+1</f>
        <v>0</v>
      </c>
      <c r="B104" s="44" t="s">
        <v>189</v>
      </c>
      <c r="C104" s="45" t="s">
        <v>190</v>
      </c>
      <c r="D104" s="46">
        <v>110</v>
      </c>
      <c r="E104" s="47">
        <v>1197</v>
      </c>
      <c r="F104" s="48">
        <v>131670</v>
      </c>
      <c r="G104" s="47">
        <v>535</v>
      </c>
      <c r="H104" s="48">
        <v>58850</v>
      </c>
      <c r="I104" s="47">
        <v>662</v>
      </c>
      <c r="J104" s="48">
        <v>72820</v>
      </c>
    </row>
    <row r="105" spans="1:10">
      <c r="A105" s="44" t="str">
        <f>A104+1</f>
        <v>0</v>
      </c>
      <c r="B105" s="44" t="s">
        <v>191</v>
      </c>
      <c r="C105" s="45" t="s">
        <v>192</v>
      </c>
      <c r="D105" s="46">
        <v>2550</v>
      </c>
      <c r="E105" s="47">
        <v>3</v>
      </c>
      <c r="F105" s="48">
        <v>7650</v>
      </c>
      <c r="G105" s="47">
        <v>0</v>
      </c>
      <c r="H105" s="48">
        <v>0</v>
      </c>
      <c r="I105" s="47">
        <v>3</v>
      </c>
      <c r="J105" s="48">
        <v>7650</v>
      </c>
    </row>
    <row r="106" spans="1:10">
      <c r="A106" s="44" t="str">
        <f>A105+1</f>
        <v>0</v>
      </c>
      <c r="B106" s="44" t="s">
        <v>193</v>
      </c>
      <c r="C106" s="45" t="s">
        <v>194</v>
      </c>
      <c r="D106" s="46">
        <v>2550</v>
      </c>
      <c r="E106" s="47">
        <v>3</v>
      </c>
      <c r="F106" s="48">
        <v>7650</v>
      </c>
      <c r="G106" s="47">
        <v>0</v>
      </c>
      <c r="H106" s="48">
        <v>0</v>
      </c>
      <c r="I106" s="47">
        <v>3</v>
      </c>
      <c r="J106" s="48">
        <v>7650</v>
      </c>
    </row>
    <row r="107" spans="1:10">
      <c r="A107" s="44" t="str">
        <f>A106+1</f>
        <v>0</v>
      </c>
      <c r="B107" s="44" t="s">
        <v>195</v>
      </c>
      <c r="C107" s="45" t="s">
        <v>196</v>
      </c>
      <c r="D107" s="46">
        <v>2550</v>
      </c>
      <c r="E107" s="47">
        <v>6</v>
      </c>
      <c r="F107" s="48">
        <v>15300</v>
      </c>
      <c r="G107" s="47">
        <v>0</v>
      </c>
      <c r="H107" s="48">
        <v>0</v>
      </c>
      <c r="I107" s="47">
        <v>6</v>
      </c>
      <c r="J107" s="48">
        <v>15300</v>
      </c>
    </row>
    <row r="108" spans="1:10">
      <c r="A108" s="44" t="str">
        <f>A107+1</f>
        <v>0</v>
      </c>
      <c r="B108" s="44" t="s">
        <v>197</v>
      </c>
      <c r="C108" s="45" t="s">
        <v>198</v>
      </c>
      <c r="D108" s="46">
        <v>2550</v>
      </c>
      <c r="E108" s="47">
        <v>42</v>
      </c>
      <c r="F108" s="48">
        <v>107100</v>
      </c>
      <c r="G108" s="47">
        <v>0</v>
      </c>
      <c r="H108" s="48">
        <v>0</v>
      </c>
      <c r="I108" s="47">
        <v>42</v>
      </c>
      <c r="J108" s="48">
        <v>107100</v>
      </c>
    </row>
    <row r="109" spans="1:10">
      <c r="A109" s="44" t="str">
        <f>A108+1</f>
        <v>0</v>
      </c>
      <c r="B109" s="44" t="s">
        <v>199</v>
      </c>
      <c r="C109" s="45" t="s">
        <v>200</v>
      </c>
      <c r="D109" s="46">
        <v>2550</v>
      </c>
      <c r="E109" s="47">
        <v>11</v>
      </c>
      <c r="F109" s="48">
        <v>28050</v>
      </c>
      <c r="G109" s="47">
        <v>0</v>
      </c>
      <c r="H109" s="48">
        <v>0</v>
      </c>
      <c r="I109" s="47">
        <v>11</v>
      </c>
      <c r="J109" s="48">
        <v>28050</v>
      </c>
    </row>
    <row r="110" spans="1:10">
      <c r="A110" s="44" t="str">
        <f>A109+1</f>
        <v>0</v>
      </c>
      <c r="B110" s="44" t="s">
        <v>201</v>
      </c>
      <c r="C110" s="45" t="s">
        <v>202</v>
      </c>
      <c r="D110" s="46">
        <v>2550</v>
      </c>
      <c r="E110" s="47">
        <v>10</v>
      </c>
      <c r="F110" s="48">
        <v>25500</v>
      </c>
      <c r="G110" s="47">
        <v>0</v>
      </c>
      <c r="H110" s="48">
        <v>0</v>
      </c>
      <c r="I110" s="47">
        <v>10</v>
      </c>
      <c r="J110" s="48">
        <v>25500</v>
      </c>
    </row>
    <row r="111" spans="1:10">
      <c r="A111" s="44" t="str">
        <f>A110+1</f>
        <v>0</v>
      </c>
      <c r="B111" s="44" t="s">
        <v>203</v>
      </c>
      <c r="C111" s="45" t="s">
        <v>204</v>
      </c>
      <c r="D111" s="46">
        <v>2550</v>
      </c>
      <c r="E111" s="47">
        <v>48</v>
      </c>
      <c r="F111" s="48">
        <v>122400</v>
      </c>
      <c r="G111" s="47">
        <v>0</v>
      </c>
      <c r="H111" s="48">
        <v>0</v>
      </c>
      <c r="I111" s="47">
        <v>48</v>
      </c>
      <c r="J111" s="48">
        <v>122400</v>
      </c>
    </row>
    <row r="112" spans="1:10">
      <c r="A112" s="44" t="str">
        <f>A111+1</f>
        <v>0</v>
      </c>
      <c r="B112" s="44" t="s">
        <v>205</v>
      </c>
      <c r="C112" s="45" t="s">
        <v>206</v>
      </c>
      <c r="D112" s="46">
        <v>1620</v>
      </c>
      <c r="E112" s="47">
        <v>3</v>
      </c>
      <c r="F112" s="48">
        <v>4860</v>
      </c>
      <c r="G112" s="47">
        <v>0</v>
      </c>
      <c r="H112" s="48">
        <v>0</v>
      </c>
      <c r="I112" s="47">
        <v>3</v>
      </c>
      <c r="J112" s="48">
        <v>4860</v>
      </c>
    </row>
    <row r="113" spans="1:10">
      <c r="A113" s="44" t="str">
        <f>A112+1</f>
        <v>0</v>
      </c>
      <c r="B113" s="44" t="s">
        <v>207</v>
      </c>
      <c r="C113" s="45" t="s">
        <v>208</v>
      </c>
      <c r="D113" s="46">
        <v>1620</v>
      </c>
      <c r="E113" s="47">
        <v>29</v>
      </c>
      <c r="F113" s="48">
        <v>46980</v>
      </c>
      <c r="G113" s="47">
        <v>10</v>
      </c>
      <c r="H113" s="48">
        <v>16200</v>
      </c>
      <c r="I113" s="47">
        <v>19</v>
      </c>
      <c r="J113" s="48">
        <v>30780</v>
      </c>
    </row>
    <row r="114" spans="1:10">
      <c r="A114" s="44" t="str">
        <f>A113+1</f>
        <v>0</v>
      </c>
      <c r="B114" s="44" t="s">
        <v>209</v>
      </c>
      <c r="C114" s="45" t="s">
        <v>210</v>
      </c>
      <c r="D114" s="46">
        <v>1620</v>
      </c>
      <c r="E114" s="47">
        <v>2</v>
      </c>
      <c r="F114" s="48">
        <v>3240</v>
      </c>
      <c r="G114" s="47">
        <v>0</v>
      </c>
      <c r="H114" s="48">
        <v>0</v>
      </c>
      <c r="I114" s="47">
        <v>2</v>
      </c>
      <c r="J114" s="48">
        <v>3240</v>
      </c>
    </row>
    <row r="115" spans="1:10">
      <c r="A115" s="44" t="str">
        <f>A114+1</f>
        <v>0</v>
      </c>
      <c r="B115" s="44" t="s">
        <v>211</v>
      </c>
      <c r="C115" s="45" t="s">
        <v>212</v>
      </c>
      <c r="D115" s="46">
        <v>1620</v>
      </c>
      <c r="E115" s="47">
        <v>2</v>
      </c>
      <c r="F115" s="48">
        <v>3240</v>
      </c>
      <c r="G115" s="47">
        <v>0</v>
      </c>
      <c r="H115" s="48">
        <v>0</v>
      </c>
      <c r="I115" s="47">
        <v>2</v>
      </c>
      <c r="J115" s="48">
        <v>3240</v>
      </c>
    </row>
    <row r="116" spans="1:10">
      <c r="A116" s="44" t="str">
        <f>A115+1</f>
        <v>0</v>
      </c>
      <c r="B116" s="44" t="s">
        <v>213</v>
      </c>
      <c r="C116" s="45" t="s">
        <v>214</v>
      </c>
      <c r="D116" s="46">
        <v>0</v>
      </c>
      <c r="E116" s="47">
        <v>0</v>
      </c>
      <c r="F116" s="48">
        <v>0</v>
      </c>
      <c r="G116" s="47">
        <v>31</v>
      </c>
      <c r="H116" s="48">
        <v>0</v>
      </c>
      <c r="I116" s="47">
        <v>-31</v>
      </c>
      <c r="J116" s="48">
        <v>-0</v>
      </c>
    </row>
    <row r="117" spans="1:10">
      <c r="A117" s="44" t="str">
        <f>A116+1</f>
        <v>0</v>
      </c>
      <c r="B117" s="44" t="s">
        <v>213</v>
      </c>
      <c r="C117" s="45" t="s">
        <v>214</v>
      </c>
      <c r="D117" s="46">
        <v>1620</v>
      </c>
      <c r="E117" s="47">
        <v>125</v>
      </c>
      <c r="F117" s="48">
        <v>202500</v>
      </c>
      <c r="G117" s="47">
        <v>0</v>
      </c>
      <c r="H117" s="48">
        <v>0</v>
      </c>
      <c r="I117" s="47">
        <v>125</v>
      </c>
      <c r="J117" s="48">
        <v>202500</v>
      </c>
    </row>
    <row r="118" spans="1:10">
      <c r="A118" s="44" t="str">
        <f>A117+1</f>
        <v>0</v>
      </c>
      <c r="B118" s="44" t="s">
        <v>215</v>
      </c>
      <c r="C118" s="45" t="s">
        <v>216</v>
      </c>
      <c r="D118" s="46">
        <v>1620</v>
      </c>
      <c r="E118" s="47">
        <v>35</v>
      </c>
      <c r="F118" s="48">
        <v>56700</v>
      </c>
      <c r="G118" s="47">
        <v>0</v>
      </c>
      <c r="H118" s="48">
        <v>0</v>
      </c>
      <c r="I118" s="47">
        <v>35</v>
      </c>
      <c r="J118" s="48">
        <v>56700</v>
      </c>
    </row>
    <row r="119" spans="1:10">
      <c r="A119" s="44" t="str">
        <f>A118+1</f>
        <v>0</v>
      </c>
      <c r="B119" s="44" t="s">
        <v>217</v>
      </c>
      <c r="C119" s="45" t="s">
        <v>218</v>
      </c>
      <c r="D119" s="46">
        <v>1620</v>
      </c>
      <c r="E119" s="47">
        <v>1</v>
      </c>
      <c r="F119" s="48">
        <v>1620</v>
      </c>
      <c r="G119" s="47">
        <v>0</v>
      </c>
      <c r="H119" s="48">
        <v>0</v>
      </c>
      <c r="I119" s="47">
        <v>1</v>
      </c>
      <c r="J119" s="48">
        <v>1620</v>
      </c>
    </row>
    <row r="120" spans="1:10">
      <c r="A120" s="44" t="str">
        <f>A119+1</f>
        <v>0</v>
      </c>
      <c r="B120" s="44" t="s">
        <v>219</v>
      </c>
      <c r="C120" s="45" t="s">
        <v>220</v>
      </c>
      <c r="D120" s="46">
        <v>1620</v>
      </c>
      <c r="E120" s="47">
        <v>6</v>
      </c>
      <c r="F120" s="48">
        <v>9720</v>
      </c>
      <c r="G120" s="47">
        <v>0</v>
      </c>
      <c r="H120" s="48">
        <v>0</v>
      </c>
      <c r="I120" s="47">
        <v>6</v>
      </c>
      <c r="J120" s="48">
        <v>9720</v>
      </c>
    </row>
    <row r="121" spans="1:10">
      <c r="A121" s="44" t="str">
        <f>A120+1</f>
        <v>0</v>
      </c>
      <c r="B121" s="44" t="s">
        <v>221</v>
      </c>
      <c r="C121" s="45" t="s">
        <v>222</v>
      </c>
      <c r="D121" s="46">
        <v>1620</v>
      </c>
      <c r="E121" s="47">
        <v>7.5</v>
      </c>
      <c r="F121" s="48">
        <v>12150</v>
      </c>
      <c r="G121" s="47">
        <v>0</v>
      </c>
      <c r="H121" s="48">
        <v>0</v>
      </c>
      <c r="I121" s="47">
        <v>7.5</v>
      </c>
      <c r="J121" s="48">
        <v>12150</v>
      </c>
    </row>
    <row r="122" spans="1:10">
      <c r="A122" s="44" t="str">
        <f>A121+1</f>
        <v>0</v>
      </c>
      <c r="B122" s="44" t="s">
        <v>223</v>
      </c>
      <c r="C122" s="45" t="s">
        <v>224</v>
      </c>
      <c r="D122" s="46">
        <v>1620</v>
      </c>
      <c r="E122" s="47">
        <v>6</v>
      </c>
      <c r="F122" s="48">
        <v>9720</v>
      </c>
      <c r="G122" s="47">
        <v>0</v>
      </c>
      <c r="H122" s="48">
        <v>0</v>
      </c>
      <c r="I122" s="47">
        <v>6</v>
      </c>
      <c r="J122" s="48">
        <v>9720</v>
      </c>
    </row>
    <row r="123" spans="1:10">
      <c r="A123" s="44" t="str">
        <f>A122+1</f>
        <v>0</v>
      </c>
      <c r="B123" s="44" t="s">
        <v>225</v>
      </c>
      <c r="C123" s="45" t="s">
        <v>226</v>
      </c>
      <c r="D123" s="46">
        <v>1620</v>
      </c>
      <c r="E123" s="47">
        <v>36</v>
      </c>
      <c r="F123" s="48">
        <v>58320</v>
      </c>
      <c r="G123" s="47">
        <v>0</v>
      </c>
      <c r="H123" s="48">
        <v>0</v>
      </c>
      <c r="I123" s="47">
        <v>36</v>
      </c>
      <c r="J123" s="48">
        <v>58320</v>
      </c>
    </row>
    <row r="124" spans="1:10">
      <c r="A124" s="44" t="str">
        <f>A123+1</f>
        <v>0</v>
      </c>
      <c r="B124" s="44" t="s">
        <v>227</v>
      </c>
      <c r="C124" s="45" t="s">
        <v>228</v>
      </c>
      <c r="D124" s="46">
        <v>16200</v>
      </c>
      <c r="E124" s="47">
        <v>32</v>
      </c>
      <c r="F124" s="48">
        <v>518400</v>
      </c>
      <c r="G124" s="47">
        <v>0</v>
      </c>
      <c r="H124" s="48">
        <v>0</v>
      </c>
      <c r="I124" s="47">
        <v>32</v>
      </c>
      <c r="J124" s="48">
        <v>518400</v>
      </c>
    </row>
    <row r="125" spans="1:10">
      <c r="A125" s="44" t="str">
        <f>A124+1</f>
        <v>0</v>
      </c>
      <c r="B125" s="44" t="s">
        <v>229</v>
      </c>
      <c r="C125" s="45" t="s">
        <v>230</v>
      </c>
      <c r="D125" s="46">
        <v>5280</v>
      </c>
      <c r="E125" s="47">
        <v>4</v>
      </c>
      <c r="F125" s="48">
        <v>21120</v>
      </c>
      <c r="G125" s="47">
        <v>0</v>
      </c>
      <c r="H125" s="48">
        <v>0</v>
      </c>
      <c r="I125" s="47">
        <v>4</v>
      </c>
      <c r="J125" s="48">
        <v>21120</v>
      </c>
    </row>
    <row r="126" spans="1:10">
      <c r="A126" s="44" t="str">
        <f>A125+1</f>
        <v>0</v>
      </c>
      <c r="B126" s="44" t="s">
        <v>231</v>
      </c>
      <c r="C126" s="45" t="s">
        <v>232</v>
      </c>
      <c r="D126" s="46">
        <v>5280</v>
      </c>
      <c r="E126" s="47">
        <v>4</v>
      </c>
      <c r="F126" s="48">
        <v>21120</v>
      </c>
      <c r="G126" s="47">
        <v>0</v>
      </c>
      <c r="H126" s="48">
        <v>0</v>
      </c>
      <c r="I126" s="47">
        <v>4</v>
      </c>
      <c r="J126" s="48">
        <v>21120</v>
      </c>
    </row>
    <row r="127" spans="1:10">
      <c r="A127" s="44" t="str">
        <f>A126+1</f>
        <v>0</v>
      </c>
      <c r="B127" s="44" t="s">
        <v>233</v>
      </c>
      <c r="C127" s="45" t="s">
        <v>234</v>
      </c>
      <c r="D127" s="46">
        <v>5280</v>
      </c>
      <c r="E127" s="47">
        <v>1</v>
      </c>
      <c r="F127" s="48">
        <v>5280</v>
      </c>
      <c r="G127" s="47">
        <v>0</v>
      </c>
      <c r="H127" s="48">
        <v>0</v>
      </c>
      <c r="I127" s="47">
        <v>1</v>
      </c>
      <c r="J127" s="48">
        <v>5280</v>
      </c>
    </row>
    <row r="128" spans="1:10">
      <c r="A128" s="44" t="str">
        <f>A127+1</f>
        <v>0</v>
      </c>
      <c r="B128" s="44" t="s">
        <v>235</v>
      </c>
      <c r="C128" s="45" t="s">
        <v>236</v>
      </c>
      <c r="D128" s="46">
        <v>1350</v>
      </c>
      <c r="E128" s="47">
        <v>64</v>
      </c>
      <c r="F128" s="48">
        <v>86400</v>
      </c>
      <c r="G128" s="47">
        <v>0</v>
      </c>
      <c r="H128" s="48">
        <v>0</v>
      </c>
      <c r="I128" s="47">
        <v>64</v>
      </c>
      <c r="J128" s="48">
        <v>86400</v>
      </c>
    </row>
    <row r="129" spans="1:10">
      <c r="A129" s="44" t="str">
        <f>A128+1</f>
        <v>0</v>
      </c>
      <c r="B129" s="44" t="s">
        <v>237</v>
      </c>
      <c r="C129" s="45" t="s">
        <v>238</v>
      </c>
      <c r="D129" s="46">
        <v>3678</v>
      </c>
      <c r="E129" s="47">
        <v>1</v>
      </c>
      <c r="F129" s="48">
        <v>3678</v>
      </c>
      <c r="G129" s="47">
        <v>0</v>
      </c>
      <c r="H129" s="48">
        <v>0</v>
      </c>
      <c r="I129" s="47">
        <v>1</v>
      </c>
      <c r="J129" s="48">
        <v>3678</v>
      </c>
    </row>
    <row r="130" spans="1:10">
      <c r="A130" s="44" t="str">
        <f>A129+1</f>
        <v>0</v>
      </c>
      <c r="B130" s="44" t="s">
        <v>239</v>
      </c>
      <c r="C130" s="45" t="s">
        <v>240</v>
      </c>
      <c r="D130" s="46">
        <v>3678</v>
      </c>
      <c r="E130" s="47">
        <v>6</v>
      </c>
      <c r="F130" s="48">
        <v>22068</v>
      </c>
      <c r="G130" s="47">
        <v>0</v>
      </c>
      <c r="H130" s="48">
        <v>0</v>
      </c>
      <c r="I130" s="47">
        <v>6</v>
      </c>
      <c r="J130" s="48">
        <v>22068</v>
      </c>
    </row>
    <row r="131" spans="1:10">
      <c r="A131" s="44" t="str">
        <f>A130+1</f>
        <v>0</v>
      </c>
      <c r="B131" s="44" t="s">
        <v>241</v>
      </c>
      <c r="C131" s="45" t="s">
        <v>242</v>
      </c>
      <c r="D131" s="46">
        <v>175</v>
      </c>
      <c r="E131" s="47">
        <v>126</v>
      </c>
      <c r="F131" s="48">
        <v>22050</v>
      </c>
      <c r="G131" s="47">
        <v>0</v>
      </c>
      <c r="H131" s="48">
        <v>0</v>
      </c>
      <c r="I131" s="47">
        <v>126</v>
      </c>
      <c r="J131" s="48">
        <v>22050</v>
      </c>
    </row>
    <row r="132" spans="1:10">
      <c r="A132" s="44" t="str">
        <f>A131+1</f>
        <v>0</v>
      </c>
      <c r="B132" s="44" t="s">
        <v>243</v>
      </c>
      <c r="C132" s="45" t="s">
        <v>244</v>
      </c>
      <c r="D132" s="46">
        <v>175</v>
      </c>
      <c r="E132" s="47">
        <v>240</v>
      </c>
      <c r="F132" s="48">
        <v>42000</v>
      </c>
      <c r="G132" s="47">
        <v>0</v>
      </c>
      <c r="H132" s="48">
        <v>0</v>
      </c>
      <c r="I132" s="47">
        <v>240</v>
      </c>
      <c r="J132" s="48">
        <v>42000</v>
      </c>
    </row>
    <row r="133" spans="1:10">
      <c r="A133" s="44" t="str">
        <f>A132+1</f>
        <v>0</v>
      </c>
      <c r="B133" s="44" t="s">
        <v>245</v>
      </c>
      <c r="C133" s="45" t="s">
        <v>246</v>
      </c>
      <c r="D133" s="46">
        <v>175</v>
      </c>
      <c r="E133" s="47">
        <v>145</v>
      </c>
      <c r="F133" s="48">
        <v>25375</v>
      </c>
      <c r="G133" s="47">
        <v>50</v>
      </c>
      <c r="H133" s="48">
        <v>8750</v>
      </c>
      <c r="I133" s="47">
        <v>95</v>
      </c>
      <c r="J133" s="48">
        <v>16625</v>
      </c>
    </row>
    <row r="134" spans="1:10">
      <c r="A134" s="44" t="str">
        <f>A133+1</f>
        <v>0</v>
      </c>
      <c r="B134" s="44" t="s">
        <v>247</v>
      </c>
      <c r="C134" s="45" t="s">
        <v>248</v>
      </c>
      <c r="D134" s="46">
        <v>175</v>
      </c>
      <c r="E134" s="47">
        <v>102</v>
      </c>
      <c r="F134" s="48">
        <v>17850</v>
      </c>
      <c r="G134" s="47">
        <v>0</v>
      </c>
      <c r="H134" s="48">
        <v>0</v>
      </c>
      <c r="I134" s="47">
        <v>102</v>
      </c>
      <c r="J134" s="48">
        <v>17850</v>
      </c>
    </row>
    <row r="135" spans="1:10">
      <c r="A135" s="44" t="str">
        <f>A134+1</f>
        <v>0</v>
      </c>
      <c r="B135" s="44" t="s">
        <v>249</v>
      </c>
      <c r="C135" s="45" t="s">
        <v>250</v>
      </c>
      <c r="D135" s="46">
        <v>175</v>
      </c>
      <c r="E135" s="47">
        <v>100</v>
      </c>
      <c r="F135" s="48">
        <v>17500</v>
      </c>
      <c r="G135" s="47">
        <v>0</v>
      </c>
      <c r="H135" s="48">
        <v>0</v>
      </c>
      <c r="I135" s="47">
        <v>100</v>
      </c>
      <c r="J135" s="48">
        <v>17500</v>
      </c>
    </row>
    <row r="136" spans="1:10">
      <c r="A136" s="44" t="str">
        <f>A135+1</f>
        <v>0</v>
      </c>
      <c r="B136" s="44" t="s">
        <v>251</v>
      </c>
      <c r="C136" s="45" t="s">
        <v>252</v>
      </c>
      <c r="D136" s="46">
        <v>175</v>
      </c>
      <c r="E136" s="47">
        <v>102</v>
      </c>
      <c r="F136" s="48">
        <v>17850</v>
      </c>
      <c r="G136" s="47">
        <v>0</v>
      </c>
      <c r="H136" s="48">
        <v>0</v>
      </c>
      <c r="I136" s="47">
        <v>102</v>
      </c>
      <c r="J136" s="48">
        <v>17850</v>
      </c>
    </row>
    <row r="137" spans="1:10">
      <c r="A137" s="44" t="str">
        <f>A136+1</f>
        <v>0</v>
      </c>
      <c r="B137" s="44" t="s">
        <v>253</v>
      </c>
      <c r="C137" s="45" t="s">
        <v>254</v>
      </c>
      <c r="D137" s="46">
        <v>175</v>
      </c>
      <c r="E137" s="47">
        <v>162</v>
      </c>
      <c r="F137" s="48">
        <v>28350</v>
      </c>
      <c r="G137" s="47">
        <v>0</v>
      </c>
      <c r="H137" s="48">
        <v>0</v>
      </c>
      <c r="I137" s="47">
        <v>162</v>
      </c>
      <c r="J137" s="48">
        <v>28350</v>
      </c>
    </row>
    <row r="138" spans="1:10">
      <c r="A138" s="44" t="str">
        <f>A137+1</f>
        <v>0</v>
      </c>
      <c r="B138" s="44" t="s">
        <v>255</v>
      </c>
      <c r="C138" s="45" t="s">
        <v>256</v>
      </c>
      <c r="D138" s="46">
        <v>175</v>
      </c>
      <c r="E138" s="47">
        <v>300</v>
      </c>
      <c r="F138" s="48">
        <v>52500</v>
      </c>
      <c r="G138" s="47">
        <v>0</v>
      </c>
      <c r="H138" s="48">
        <v>0</v>
      </c>
      <c r="I138" s="47">
        <v>300</v>
      </c>
      <c r="J138" s="48">
        <v>52500</v>
      </c>
    </row>
    <row r="139" spans="1:10">
      <c r="A139" s="44" t="str">
        <f>A138+1</f>
        <v>0</v>
      </c>
      <c r="B139" s="44" t="s">
        <v>257</v>
      </c>
      <c r="C139" s="45" t="s">
        <v>258</v>
      </c>
      <c r="D139" s="46">
        <v>175</v>
      </c>
      <c r="E139" s="47">
        <v>203</v>
      </c>
      <c r="F139" s="48">
        <v>35525</v>
      </c>
      <c r="G139" s="47">
        <v>200</v>
      </c>
      <c r="H139" s="48">
        <v>35000</v>
      </c>
      <c r="I139" s="47">
        <v>3</v>
      </c>
      <c r="J139" s="48">
        <v>525</v>
      </c>
    </row>
    <row r="140" spans="1:10">
      <c r="A140" s="44" t="str">
        <f>A139+1</f>
        <v>0</v>
      </c>
      <c r="B140" s="44" t="s">
        <v>259</v>
      </c>
      <c r="C140" s="45" t="s">
        <v>260</v>
      </c>
      <c r="D140" s="46">
        <v>175</v>
      </c>
      <c r="E140" s="47">
        <v>181</v>
      </c>
      <c r="F140" s="48">
        <v>31675</v>
      </c>
      <c r="G140" s="47">
        <v>0</v>
      </c>
      <c r="H140" s="48">
        <v>0</v>
      </c>
      <c r="I140" s="47">
        <v>181</v>
      </c>
      <c r="J140" s="48">
        <v>31675</v>
      </c>
    </row>
    <row r="141" spans="1:10">
      <c r="A141" s="44" t="str">
        <f>A140+1</f>
        <v>0</v>
      </c>
      <c r="B141" s="44" t="s">
        <v>261</v>
      </c>
      <c r="C141" s="45" t="s">
        <v>262</v>
      </c>
      <c r="D141" s="46">
        <v>175</v>
      </c>
      <c r="E141" s="47">
        <v>164</v>
      </c>
      <c r="F141" s="48">
        <v>28700</v>
      </c>
      <c r="G141" s="47">
        <v>0</v>
      </c>
      <c r="H141" s="48">
        <v>0</v>
      </c>
      <c r="I141" s="47">
        <v>164</v>
      </c>
      <c r="J141" s="48">
        <v>28700</v>
      </c>
    </row>
    <row r="142" spans="1:10">
      <c r="A142" s="44" t="str">
        <f>A141+1</f>
        <v>0</v>
      </c>
      <c r="B142" s="44" t="s">
        <v>263</v>
      </c>
      <c r="C142" s="45" t="s">
        <v>264</v>
      </c>
      <c r="D142" s="46">
        <v>175</v>
      </c>
      <c r="E142" s="47">
        <v>101</v>
      </c>
      <c r="F142" s="48">
        <v>17675</v>
      </c>
      <c r="G142" s="47">
        <v>0</v>
      </c>
      <c r="H142" s="48">
        <v>0</v>
      </c>
      <c r="I142" s="47">
        <v>101</v>
      </c>
      <c r="J142" s="48">
        <v>17675</v>
      </c>
    </row>
    <row r="143" spans="1:10">
      <c r="A143" s="44" t="str">
        <f>A142+1</f>
        <v>0</v>
      </c>
      <c r="B143" s="44" t="s">
        <v>265</v>
      </c>
      <c r="C143" s="45" t="s">
        <v>266</v>
      </c>
      <c r="D143" s="46">
        <v>175</v>
      </c>
      <c r="E143" s="47">
        <v>50</v>
      </c>
      <c r="F143" s="48">
        <v>8750</v>
      </c>
      <c r="G143" s="47">
        <v>0</v>
      </c>
      <c r="H143" s="48">
        <v>0</v>
      </c>
      <c r="I143" s="47">
        <v>50</v>
      </c>
      <c r="J143" s="48">
        <v>8750</v>
      </c>
    </row>
    <row r="144" spans="1:10">
      <c r="A144" s="44" t="str">
        <f>A143+1</f>
        <v>0</v>
      </c>
      <c r="B144" s="44" t="s">
        <v>267</v>
      </c>
      <c r="C144" s="45" t="s">
        <v>268</v>
      </c>
      <c r="D144" s="46">
        <v>175</v>
      </c>
      <c r="E144" s="47">
        <v>200</v>
      </c>
      <c r="F144" s="48">
        <v>35000</v>
      </c>
      <c r="G144" s="47">
        <v>0</v>
      </c>
      <c r="H144" s="48">
        <v>0</v>
      </c>
      <c r="I144" s="47">
        <v>200</v>
      </c>
      <c r="J144" s="48">
        <v>35000</v>
      </c>
    </row>
    <row r="145" spans="1:10">
      <c r="A145" s="44" t="str">
        <f>A144+1</f>
        <v>0</v>
      </c>
      <c r="B145" s="44" t="s">
        <v>269</v>
      </c>
      <c r="C145" s="45" t="s">
        <v>270</v>
      </c>
      <c r="D145" s="46">
        <v>175</v>
      </c>
      <c r="E145" s="47">
        <v>150</v>
      </c>
      <c r="F145" s="48">
        <v>26250</v>
      </c>
      <c r="G145" s="47">
        <v>0</v>
      </c>
      <c r="H145" s="48">
        <v>0</v>
      </c>
      <c r="I145" s="47">
        <v>150</v>
      </c>
      <c r="J145" s="48">
        <v>26250</v>
      </c>
    </row>
    <row r="146" spans="1:10">
      <c r="A146" s="44" t="str">
        <f>A145+1</f>
        <v>0</v>
      </c>
      <c r="B146" s="44" t="s">
        <v>271</v>
      </c>
      <c r="C146" s="45" t="s">
        <v>272</v>
      </c>
      <c r="D146" s="46">
        <v>175</v>
      </c>
      <c r="E146" s="47">
        <v>105</v>
      </c>
      <c r="F146" s="48">
        <v>18375</v>
      </c>
      <c r="G146" s="47">
        <v>0</v>
      </c>
      <c r="H146" s="48">
        <v>0</v>
      </c>
      <c r="I146" s="47">
        <v>105</v>
      </c>
      <c r="J146" s="48">
        <v>18375</v>
      </c>
    </row>
    <row r="147" spans="1:10">
      <c r="A147" s="44" t="str">
        <f>A146+1</f>
        <v>0</v>
      </c>
      <c r="B147" s="44" t="s">
        <v>273</v>
      </c>
      <c r="C147" s="45" t="s">
        <v>274</v>
      </c>
      <c r="D147" s="46">
        <v>175</v>
      </c>
      <c r="E147" s="47">
        <v>182</v>
      </c>
      <c r="F147" s="48">
        <v>31850</v>
      </c>
      <c r="G147" s="47">
        <v>0</v>
      </c>
      <c r="H147" s="48">
        <v>0</v>
      </c>
      <c r="I147" s="47">
        <v>182</v>
      </c>
      <c r="J147" s="48">
        <v>31850</v>
      </c>
    </row>
    <row r="148" spans="1:10">
      <c r="A148" s="44" t="str">
        <f>A147+1</f>
        <v>0</v>
      </c>
      <c r="B148" s="44" t="s">
        <v>275</v>
      </c>
      <c r="C148" s="45" t="s">
        <v>276</v>
      </c>
      <c r="D148" s="46">
        <v>175</v>
      </c>
      <c r="E148" s="47">
        <v>300</v>
      </c>
      <c r="F148" s="48">
        <v>52500</v>
      </c>
      <c r="G148" s="47">
        <v>0</v>
      </c>
      <c r="H148" s="48">
        <v>0</v>
      </c>
      <c r="I148" s="47">
        <v>300</v>
      </c>
      <c r="J148" s="48">
        <v>52500</v>
      </c>
    </row>
    <row r="149" spans="1:10">
      <c r="A149" s="44" t="str">
        <f>A148+1</f>
        <v>0</v>
      </c>
      <c r="B149" s="44" t="s">
        <v>277</v>
      </c>
      <c r="C149" s="45" t="s">
        <v>278</v>
      </c>
      <c r="D149" s="46">
        <v>175</v>
      </c>
      <c r="E149" s="47">
        <v>201</v>
      </c>
      <c r="F149" s="48">
        <v>35175</v>
      </c>
      <c r="G149" s="47">
        <v>0</v>
      </c>
      <c r="H149" s="48">
        <v>0</v>
      </c>
      <c r="I149" s="47">
        <v>201</v>
      </c>
      <c r="J149" s="48">
        <v>35175</v>
      </c>
    </row>
    <row r="150" spans="1:10">
      <c r="A150" s="44" t="str">
        <f>A149+1</f>
        <v>0</v>
      </c>
      <c r="B150" s="44" t="s">
        <v>279</v>
      </c>
      <c r="C150" s="45" t="s">
        <v>280</v>
      </c>
      <c r="D150" s="46">
        <v>175</v>
      </c>
      <c r="E150" s="47">
        <v>40</v>
      </c>
      <c r="F150" s="48">
        <v>7000</v>
      </c>
      <c r="G150" s="47">
        <v>0</v>
      </c>
      <c r="H150" s="48">
        <v>0</v>
      </c>
      <c r="I150" s="47">
        <v>40</v>
      </c>
      <c r="J150" s="48">
        <v>7000</v>
      </c>
    </row>
    <row r="151" spans="1:10">
      <c r="A151" s="44" t="str">
        <f>A150+1</f>
        <v>0</v>
      </c>
      <c r="B151" s="44" t="s">
        <v>281</v>
      </c>
      <c r="C151" s="45" t="s">
        <v>282</v>
      </c>
      <c r="D151" s="46">
        <v>175</v>
      </c>
      <c r="E151" s="47">
        <v>250</v>
      </c>
      <c r="F151" s="48">
        <v>43750</v>
      </c>
      <c r="G151" s="47">
        <v>0</v>
      </c>
      <c r="H151" s="48">
        <v>0</v>
      </c>
      <c r="I151" s="47">
        <v>250</v>
      </c>
      <c r="J151" s="48">
        <v>43750</v>
      </c>
    </row>
    <row r="152" spans="1:10">
      <c r="A152" s="44" t="str">
        <f>A151+1</f>
        <v>0</v>
      </c>
      <c r="B152" s="44" t="s">
        <v>283</v>
      </c>
      <c r="C152" s="45" t="s">
        <v>284</v>
      </c>
      <c r="D152" s="46">
        <v>175</v>
      </c>
      <c r="E152" s="47">
        <v>220</v>
      </c>
      <c r="F152" s="48">
        <v>38500</v>
      </c>
      <c r="G152" s="47">
        <v>0</v>
      </c>
      <c r="H152" s="48">
        <v>0</v>
      </c>
      <c r="I152" s="47">
        <v>220</v>
      </c>
      <c r="J152" s="48">
        <v>38500</v>
      </c>
    </row>
    <row r="153" spans="1:10">
      <c r="A153" s="44" t="str">
        <f>A152+1</f>
        <v>0</v>
      </c>
      <c r="B153" s="44" t="s">
        <v>285</v>
      </c>
      <c r="C153" s="45" t="s">
        <v>286</v>
      </c>
      <c r="D153" s="46">
        <v>175</v>
      </c>
      <c r="E153" s="47">
        <v>122</v>
      </c>
      <c r="F153" s="48">
        <v>21350</v>
      </c>
      <c r="G153" s="47">
        <v>0</v>
      </c>
      <c r="H153" s="48">
        <v>0</v>
      </c>
      <c r="I153" s="47">
        <v>122</v>
      </c>
      <c r="J153" s="48">
        <v>21350</v>
      </c>
    </row>
    <row r="154" spans="1:10">
      <c r="A154" s="44" t="str">
        <f>A153+1</f>
        <v>0</v>
      </c>
      <c r="B154" s="44" t="s">
        <v>287</v>
      </c>
      <c r="C154" s="45" t="s">
        <v>288</v>
      </c>
      <c r="D154" s="46">
        <v>175</v>
      </c>
      <c r="E154" s="47">
        <v>155</v>
      </c>
      <c r="F154" s="48">
        <v>27125</v>
      </c>
      <c r="G154" s="47">
        <v>0</v>
      </c>
      <c r="H154" s="48">
        <v>0</v>
      </c>
      <c r="I154" s="47">
        <v>155</v>
      </c>
      <c r="J154" s="48">
        <v>27125</v>
      </c>
    </row>
    <row r="155" spans="1:10">
      <c r="A155" s="44" t="str">
        <f>A154+1</f>
        <v>0</v>
      </c>
      <c r="B155" s="44" t="s">
        <v>289</v>
      </c>
      <c r="C155" s="45" t="s">
        <v>290</v>
      </c>
      <c r="D155" s="46">
        <v>175</v>
      </c>
      <c r="E155" s="47">
        <v>102</v>
      </c>
      <c r="F155" s="48">
        <v>17850</v>
      </c>
      <c r="G155" s="47">
        <v>0</v>
      </c>
      <c r="H155" s="48">
        <v>0</v>
      </c>
      <c r="I155" s="47">
        <v>102</v>
      </c>
      <c r="J155" s="48">
        <v>17850</v>
      </c>
    </row>
    <row r="156" spans="1:10">
      <c r="A156" s="44" t="str">
        <f>A155+1</f>
        <v>0</v>
      </c>
      <c r="B156" s="44" t="s">
        <v>291</v>
      </c>
      <c r="C156" s="45" t="s">
        <v>292</v>
      </c>
      <c r="D156" s="46">
        <v>150</v>
      </c>
      <c r="E156" s="47">
        <v>732</v>
      </c>
      <c r="F156" s="48">
        <v>109800</v>
      </c>
      <c r="G156" s="47">
        <v>50</v>
      </c>
      <c r="H156" s="48">
        <v>7500</v>
      </c>
      <c r="I156" s="47">
        <v>682</v>
      </c>
      <c r="J156" s="48">
        <v>102300</v>
      </c>
    </row>
    <row r="157" spans="1:10">
      <c r="A157" s="44" t="str">
        <f>A156+1</f>
        <v>0</v>
      </c>
      <c r="B157" s="44" t="s">
        <v>293</v>
      </c>
      <c r="C157" s="45" t="s">
        <v>294</v>
      </c>
      <c r="D157" s="46">
        <v>150</v>
      </c>
      <c r="E157" s="47">
        <v>293</v>
      </c>
      <c r="F157" s="48">
        <v>43950</v>
      </c>
      <c r="G157" s="47">
        <v>10</v>
      </c>
      <c r="H157" s="48">
        <v>1500</v>
      </c>
      <c r="I157" s="47">
        <v>283</v>
      </c>
      <c r="J157" s="48">
        <v>42450</v>
      </c>
    </row>
    <row r="158" spans="1:10">
      <c r="A158" s="44" t="str">
        <f>A157+1</f>
        <v>0</v>
      </c>
      <c r="B158" s="44" t="s">
        <v>295</v>
      </c>
      <c r="C158" s="45" t="s">
        <v>296</v>
      </c>
      <c r="D158" s="46">
        <v>175</v>
      </c>
      <c r="E158" s="47">
        <v>90</v>
      </c>
      <c r="F158" s="48">
        <v>15750</v>
      </c>
      <c r="G158" s="47">
        <v>0</v>
      </c>
      <c r="H158" s="48">
        <v>0</v>
      </c>
      <c r="I158" s="47">
        <v>90</v>
      </c>
      <c r="J158" s="48">
        <v>15750</v>
      </c>
    </row>
    <row r="159" spans="1:10">
      <c r="A159" s="44" t="str">
        <f>A158+1</f>
        <v>0</v>
      </c>
      <c r="B159" s="44" t="s">
        <v>297</v>
      </c>
      <c r="C159" s="45" t="s">
        <v>298</v>
      </c>
      <c r="D159" s="46">
        <v>175</v>
      </c>
      <c r="E159" s="47">
        <v>202</v>
      </c>
      <c r="F159" s="48">
        <v>35350</v>
      </c>
      <c r="G159" s="47">
        <v>0</v>
      </c>
      <c r="H159" s="48">
        <v>0</v>
      </c>
      <c r="I159" s="47">
        <v>202</v>
      </c>
      <c r="J159" s="48">
        <v>35350</v>
      </c>
    </row>
    <row r="160" spans="1:10">
      <c r="A160" s="44" t="str">
        <f>A159+1</f>
        <v>0</v>
      </c>
      <c r="B160" s="44" t="s">
        <v>299</v>
      </c>
      <c r="C160" s="45" t="s">
        <v>300</v>
      </c>
      <c r="D160" s="46">
        <v>175</v>
      </c>
      <c r="E160" s="47">
        <v>110</v>
      </c>
      <c r="F160" s="48">
        <v>19250</v>
      </c>
      <c r="G160" s="47">
        <v>0</v>
      </c>
      <c r="H160" s="48">
        <v>0</v>
      </c>
      <c r="I160" s="47">
        <v>110</v>
      </c>
      <c r="J160" s="48">
        <v>19250</v>
      </c>
    </row>
    <row r="161" spans="1:10">
      <c r="A161" s="44" t="str">
        <f>A160+1</f>
        <v>0</v>
      </c>
      <c r="B161" s="44" t="s">
        <v>301</v>
      </c>
      <c r="C161" s="45" t="s">
        <v>302</v>
      </c>
      <c r="D161" s="46">
        <v>175</v>
      </c>
      <c r="E161" s="47">
        <v>150</v>
      </c>
      <c r="F161" s="48">
        <v>26250</v>
      </c>
      <c r="G161" s="47">
        <v>10</v>
      </c>
      <c r="H161" s="48">
        <v>1750</v>
      </c>
      <c r="I161" s="47">
        <v>140</v>
      </c>
      <c r="J161" s="48">
        <v>24500</v>
      </c>
    </row>
    <row r="162" spans="1:10">
      <c r="A162" s="44" t="str">
        <f>A161+1</f>
        <v>0</v>
      </c>
      <c r="B162" s="44" t="s">
        <v>303</v>
      </c>
      <c r="C162" s="45" t="s">
        <v>304</v>
      </c>
      <c r="D162" s="46">
        <v>175</v>
      </c>
      <c r="E162" s="47">
        <v>176</v>
      </c>
      <c r="F162" s="48">
        <v>30800</v>
      </c>
      <c r="G162" s="47">
        <v>20</v>
      </c>
      <c r="H162" s="48">
        <v>3500</v>
      </c>
      <c r="I162" s="47">
        <v>156</v>
      </c>
      <c r="J162" s="48">
        <v>27300</v>
      </c>
    </row>
    <row r="163" spans="1:10">
      <c r="A163" s="44" t="str">
        <f>A162+1</f>
        <v>0</v>
      </c>
      <c r="B163" s="44" t="s">
        <v>305</v>
      </c>
      <c r="C163" s="45" t="s">
        <v>306</v>
      </c>
      <c r="D163" s="46">
        <v>175</v>
      </c>
      <c r="E163" s="47">
        <v>28</v>
      </c>
      <c r="F163" s="48">
        <v>4900</v>
      </c>
      <c r="G163" s="47">
        <v>0</v>
      </c>
      <c r="H163" s="48">
        <v>0</v>
      </c>
      <c r="I163" s="47">
        <v>28</v>
      </c>
      <c r="J163" s="48">
        <v>4900</v>
      </c>
    </row>
    <row r="164" spans="1:10">
      <c r="A164" s="44" t="str">
        <f>A163+1</f>
        <v>0</v>
      </c>
      <c r="B164" s="44" t="s">
        <v>307</v>
      </c>
      <c r="C164" s="45" t="s">
        <v>308</v>
      </c>
      <c r="D164" s="46">
        <v>175</v>
      </c>
      <c r="E164" s="47">
        <v>205</v>
      </c>
      <c r="F164" s="48">
        <v>35875</v>
      </c>
      <c r="G164" s="47">
        <v>0</v>
      </c>
      <c r="H164" s="48">
        <v>0</v>
      </c>
      <c r="I164" s="47">
        <v>205</v>
      </c>
      <c r="J164" s="48">
        <v>35875</v>
      </c>
    </row>
    <row r="165" spans="1:10">
      <c r="A165" s="44" t="str">
        <f>A164+1</f>
        <v>0</v>
      </c>
      <c r="B165" s="44" t="s">
        <v>309</v>
      </c>
      <c r="C165" s="45" t="s">
        <v>310</v>
      </c>
      <c r="D165" s="46">
        <v>175</v>
      </c>
      <c r="E165" s="47">
        <v>200</v>
      </c>
      <c r="F165" s="48">
        <v>35000</v>
      </c>
      <c r="G165" s="47">
        <v>0</v>
      </c>
      <c r="H165" s="48">
        <v>0</v>
      </c>
      <c r="I165" s="47">
        <v>200</v>
      </c>
      <c r="J165" s="48">
        <v>35000</v>
      </c>
    </row>
    <row r="166" spans="1:10">
      <c r="A166" s="44" t="str">
        <f>A165+1</f>
        <v>0</v>
      </c>
      <c r="B166" s="44" t="s">
        <v>311</v>
      </c>
      <c r="C166" s="45" t="s">
        <v>312</v>
      </c>
      <c r="D166" s="46">
        <v>175</v>
      </c>
      <c r="E166" s="47">
        <v>102</v>
      </c>
      <c r="F166" s="48">
        <v>17850</v>
      </c>
      <c r="G166" s="47">
        <v>0</v>
      </c>
      <c r="H166" s="48">
        <v>0</v>
      </c>
      <c r="I166" s="47">
        <v>102</v>
      </c>
      <c r="J166" s="48">
        <v>17850</v>
      </c>
    </row>
    <row r="167" spans="1:10">
      <c r="A167" s="44" t="str">
        <f>A166+1</f>
        <v>0</v>
      </c>
      <c r="B167" s="44" t="s">
        <v>313</v>
      </c>
      <c r="C167" s="45" t="s">
        <v>314</v>
      </c>
      <c r="D167" s="46">
        <v>175</v>
      </c>
      <c r="E167" s="47">
        <v>252</v>
      </c>
      <c r="F167" s="48">
        <v>44100</v>
      </c>
      <c r="G167" s="47">
        <v>0</v>
      </c>
      <c r="H167" s="48">
        <v>0</v>
      </c>
      <c r="I167" s="47">
        <v>252</v>
      </c>
      <c r="J167" s="48">
        <v>44100</v>
      </c>
    </row>
    <row r="168" spans="1:10">
      <c r="A168" s="44" t="str">
        <f>A167+1</f>
        <v>0</v>
      </c>
      <c r="B168" s="44" t="s">
        <v>315</v>
      </c>
      <c r="C168" s="45" t="s">
        <v>316</v>
      </c>
      <c r="D168" s="46">
        <v>150</v>
      </c>
      <c r="E168" s="47">
        <v>851</v>
      </c>
      <c r="F168" s="48">
        <v>127650</v>
      </c>
      <c r="G168" s="47">
        <v>0</v>
      </c>
      <c r="H168" s="48">
        <v>0</v>
      </c>
      <c r="I168" s="47">
        <v>851</v>
      </c>
      <c r="J168" s="48">
        <v>127650</v>
      </c>
    </row>
    <row r="169" spans="1:10">
      <c r="A169" s="44" t="str">
        <f>A168+1</f>
        <v>0</v>
      </c>
      <c r="B169" s="44" t="s">
        <v>317</v>
      </c>
      <c r="C169" s="45" t="s">
        <v>318</v>
      </c>
      <c r="D169" s="46">
        <v>150</v>
      </c>
      <c r="E169" s="47">
        <v>2000</v>
      </c>
      <c r="F169" s="48">
        <v>300000</v>
      </c>
      <c r="G169" s="47">
        <v>0</v>
      </c>
      <c r="H169" s="48">
        <v>0</v>
      </c>
      <c r="I169" s="47">
        <v>2000</v>
      </c>
      <c r="J169" s="48">
        <v>300000</v>
      </c>
    </row>
    <row r="170" spans="1:10">
      <c r="A170" s="44" t="str">
        <f>A169+1</f>
        <v>0</v>
      </c>
      <c r="B170" s="44" t="s">
        <v>319</v>
      </c>
      <c r="C170" s="45" t="s">
        <v>320</v>
      </c>
      <c r="D170" s="46">
        <v>150</v>
      </c>
      <c r="E170" s="47">
        <v>1000</v>
      </c>
      <c r="F170" s="48">
        <v>150000</v>
      </c>
      <c r="G170" s="47">
        <v>1000</v>
      </c>
      <c r="H170" s="48">
        <v>150000</v>
      </c>
      <c r="I170" s="47">
        <v>0</v>
      </c>
      <c r="J170" s="48">
        <v>0</v>
      </c>
    </row>
    <row r="171" spans="1:10">
      <c r="A171" s="44" t="str">
        <f>A170+1</f>
        <v>0</v>
      </c>
      <c r="B171" s="44" t="s">
        <v>321</v>
      </c>
      <c r="C171" s="45" t="s">
        <v>322</v>
      </c>
      <c r="D171" s="46">
        <v>150</v>
      </c>
      <c r="E171" s="47">
        <v>750</v>
      </c>
      <c r="F171" s="48">
        <v>112500</v>
      </c>
      <c r="G171" s="47">
        <v>260</v>
      </c>
      <c r="H171" s="48">
        <v>39000</v>
      </c>
      <c r="I171" s="47">
        <v>490</v>
      </c>
      <c r="J171" s="48">
        <v>73500</v>
      </c>
    </row>
    <row r="172" spans="1:10">
      <c r="A172" s="44" t="str">
        <f>A171+1</f>
        <v>0</v>
      </c>
      <c r="B172" s="44" t="s">
        <v>323</v>
      </c>
      <c r="C172" s="45" t="s">
        <v>324</v>
      </c>
      <c r="D172" s="46">
        <v>150</v>
      </c>
      <c r="E172" s="47">
        <v>1160</v>
      </c>
      <c r="F172" s="48">
        <v>174000</v>
      </c>
      <c r="G172" s="47">
        <v>0</v>
      </c>
      <c r="H172" s="48">
        <v>0</v>
      </c>
      <c r="I172" s="47">
        <v>1160</v>
      </c>
      <c r="J172" s="48">
        <v>174000</v>
      </c>
    </row>
    <row r="173" spans="1:10">
      <c r="A173" s="44" t="str">
        <f>A172+1</f>
        <v>0</v>
      </c>
      <c r="B173" s="44" t="s">
        <v>325</v>
      </c>
      <c r="C173" s="45" t="s">
        <v>326</v>
      </c>
      <c r="D173" s="46">
        <v>150</v>
      </c>
      <c r="E173" s="47">
        <v>500</v>
      </c>
      <c r="F173" s="48">
        <v>75000</v>
      </c>
      <c r="G173" s="47">
        <v>250</v>
      </c>
      <c r="H173" s="48">
        <v>37500</v>
      </c>
      <c r="I173" s="47">
        <v>250</v>
      </c>
      <c r="J173" s="48">
        <v>37500</v>
      </c>
    </row>
    <row r="174" spans="1:10">
      <c r="A174" s="44" t="str">
        <f>A173+1</f>
        <v>0</v>
      </c>
      <c r="B174" s="44" t="s">
        <v>327</v>
      </c>
      <c r="C174" s="45" t="s">
        <v>328</v>
      </c>
      <c r="D174" s="46">
        <v>175</v>
      </c>
      <c r="E174" s="47">
        <v>170</v>
      </c>
      <c r="F174" s="48">
        <v>29750</v>
      </c>
      <c r="G174" s="47">
        <v>0</v>
      </c>
      <c r="H174" s="48">
        <v>0</v>
      </c>
      <c r="I174" s="47">
        <v>170</v>
      </c>
      <c r="J174" s="48">
        <v>29750</v>
      </c>
    </row>
    <row r="175" spans="1:10">
      <c r="A175" s="44" t="str">
        <f>A174+1</f>
        <v>0</v>
      </c>
      <c r="B175" s="44" t="s">
        <v>329</v>
      </c>
      <c r="C175" s="45" t="s">
        <v>330</v>
      </c>
      <c r="D175" s="46">
        <v>175</v>
      </c>
      <c r="E175" s="47">
        <v>606</v>
      </c>
      <c r="F175" s="48">
        <v>106050</v>
      </c>
      <c r="G175" s="47">
        <v>0</v>
      </c>
      <c r="H175" s="48">
        <v>0</v>
      </c>
      <c r="I175" s="47">
        <v>606</v>
      </c>
      <c r="J175" s="48">
        <v>106050</v>
      </c>
    </row>
    <row r="176" spans="1:10">
      <c r="A176" s="44" t="str">
        <f>A175+1</f>
        <v>0</v>
      </c>
      <c r="B176" s="44" t="s">
        <v>331</v>
      </c>
      <c r="C176" s="45" t="s">
        <v>332</v>
      </c>
      <c r="D176" s="46">
        <v>175</v>
      </c>
      <c r="E176" s="47">
        <v>309</v>
      </c>
      <c r="F176" s="48">
        <v>54075</v>
      </c>
      <c r="G176" s="47">
        <v>0</v>
      </c>
      <c r="H176" s="48">
        <v>0</v>
      </c>
      <c r="I176" s="47">
        <v>309</v>
      </c>
      <c r="J176" s="48">
        <v>54075</v>
      </c>
    </row>
    <row r="177" spans="1:10">
      <c r="A177" s="44" t="str">
        <f>A176+1</f>
        <v>0</v>
      </c>
      <c r="B177" s="44" t="s">
        <v>333</v>
      </c>
      <c r="C177" s="45" t="s">
        <v>334</v>
      </c>
      <c r="D177" s="46">
        <v>175</v>
      </c>
      <c r="E177" s="47">
        <v>273</v>
      </c>
      <c r="F177" s="48">
        <v>47775</v>
      </c>
      <c r="G177" s="47">
        <v>0</v>
      </c>
      <c r="H177" s="48">
        <v>0</v>
      </c>
      <c r="I177" s="47">
        <v>273</v>
      </c>
      <c r="J177" s="48">
        <v>47775</v>
      </c>
    </row>
    <row r="178" spans="1:10">
      <c r="A178" s="44" t="str">
        <f>A177+1</f>
        <v>0</v>
      </c>
      <c r="B178" s="44" t="s">
        <v>335</v>
      </c>
      <c r="C178" s="45" t="s">
        <v>336</v>
      </c>
      <c r="D178" s="46">
        <v>175</v>
      </c>
      <c r="E178" s="47">
        <v>180</v>
      </c>
      <c r="F178" s="48">
        <v>31500</v>
      </c>
      <c r="G178" s="47">
        <v>0</v>
      </c>
      <c r="H178" s="48">
        <v>0</v>
      </c>
      <c r="I178" s="47">
        <v>180</v>
      </c>
      <c r="J178" s="48">
        <v>31500</v>
      </c>
    </row>
    <row r="179" spans="1:10">
      <c r="A179" s="44" t="str">
        <f>A178+1</f>
        <v>0</v>
      </c>
      <c r="B179" s="44" t="s">
        <v>337</v>
      </c>
      <c r="C179" s="45" t="s">
        <v>338</v>
      </c>
      <c r="D179" s="46">
        <v>175</v>
      </c>
      <c r="E179" s="47">
        <v>331</v>
      </c>
      <c r="F179" s="48">
        <v>57925</v>
      </c>
      <c r="G179" s="47">
        <v>0</v>
      </c>
      <c r="H179" s="48">
        <v>0</v>
      </c>
      <c r="I179" s="47">
        <v>331</v>
      </c>
      <c r="J179" s="48">
        <v>57925</v>
      </c>
    </row>
    <row r="180" spans="1:10">
      <c r="A180" s="44" t="str">
        <f>A179+1</f>
        <v>0</v>
      </c>
      <c r="B180" s="44" t="s">
        <v>339</v>
      </c>
      <c r="C180" s="45" t="s">
        <v>340</v>
      </c>
      <c r="D180" s="46">
        <v>175</v>
      </c>
      <c r="E180" s="47">
        <v>256</v>
      </c>
      <c r="F180" s="48">
        <v>44800</v>
      </c>
      <c r="G180" s="47">
        <v>0</v>
      </c>
      <c r="H180" s="48">
        <v>0</v>
      </c>
      <c r="I180" s="47">
        <v>256</v>
      </c>
      <c r="J180" s="48">
        <v>44800</v>
      </c>
    </row>
    <row r="183" spans="1:10">
      <c r="F183" s="49" t="str">
        <f>SUM(F14:F180)</f>
        <v>0</v>
      </c>
      <c r="H183" s="49" t="str">
        <f>SUM(H14:H180)</f>
        <v>0</v>
      </c>
      <c r="J183" s="49" t="str">
        <f>SUM(J14:J180)</f>
        <v>0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E10:F11"/>
    <mergeCell ref="G10:H11"/>
    <mergeCell ref="I10:J11"/>
    <mergeCell ref="D10:D12"/>
    <mergeCell ref="C10:C12"/>
    <mergeCell ref="A10:A12"/>
    <mergeCell ref="B10:B12"/>
  </mergeCells>
  <printOptions gridLines="false" gridLinesSet="true"/>
  <pageMargins left="0.7" right="0.7" top="0.75" bottom="0.75" header="0.3" footer="0.3"/>
  <pageSetup paperSize="10003" orientation="landscape" scale="53" fitToHeight="0" fitToWidth="1"/>
  <headerFooter differentOddEven="false" differentFirst="false" scaleWithDoc="true" alignWithMargins="true">
    <oddHeader/>
    <oddFooter>&amp;C&amp;"+,Regular"&amp;15&amp;P OF &amp;N</oddFooter>
    <evenHeader/>
    <evenFooter>&amp;C&amp;"+,Regular"&amp;15&amp;P OF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</dc:creator>
  <cp:lastModifiedBy>PAYROLL</cp:lastModifiedBy>
  <dcterms:created xsi:type="dcterms:W3CDTF">2025-09-17T15:20:24+08:00</dcterms:created>
  <dcterms:modified xsi:type="dcterms:W3CDTF">2026-03-13T10:47:37+08:00</dcterms:modified>
  <dc:title>Untitled Spreadsheet</dc:title>
  <dc:description/>
  <dc:subject/>
  <cp:keywords/>
  <cp:category/>
</cp:coreProperties>
</file>